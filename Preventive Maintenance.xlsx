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15ff408dfda4a/Documents/"/>
    </mc:Choice>
  </mc:AlternateContent>
  <xr:revisionPtr revIDLastSave="1121" documentId="8_{E214C2EC-109B-4758-AC3F-6CC45A2E2CF4}" xr6:coauthVersionLast="47" xr6:coauthVersionMax="47" xr10:uidLastSave="{A4BFD86C-E28E-4B2A-BA70-2762E0E37070}"/>
  <bookViews>
    <workbookView xWindow="-108" yWindow="-108" windowWidth="23256" windowHeight="12456" activeTab="2" xr2:uid="{D3D395E2-1F0D-48F3-84BF-CFF805399FC4}"/>
  </bookViews>
  <sheets>
    <sheet name="Data" sheetId="1" r:id="rId1"/>
    <sheet name="Pivot Tables" sheetId="2" r:id="rId2"/>
    <sheet name="Dashboard" sheetId="3" r:id="rId3"/>
  </sheets>
  <definedNames>
    <definedName name="_xlnm.Print_Area" localSheetId="2">Dashboard!$B$1:$M$52</definedName>
  </definedNames>
  <calcPr calcId="191029"/>
  <pivotCaches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2" l="1"/>
  <c r="G43" i="2"/>
  <c r="G45" i="2"/>
</calcChain>
</file>

<file path=xl/sharedStrings.xml><?xml version="1.0" encoding="utf-8"?>
<sst xmlns="http://schemas.openxmlformats.org/spreadsheetml/2006/main" count="71" uniqueCount="42">
  <si>
    <t>Date</t>
  </si>
  <si>
    <t>Preventive Maintenance</t>
  </si>
  <si>
    <t>Compliance Rate(%)</t>
  </si>
  <si>
    <t>PM scheduled Adherence</t>
  </si>
  <si>
    <t>Overdue PM tasks</t>
  </si>
  <si>
    <t>Planned Maintenance Cost</t>
  </si>
  <si>
    <t>Actual Maintenance Cost</t>
  </si>
  <si>
    <t>Planned Preventive Maintenance Jobs</t>
  </si>
  <si>
    <t>Completed Preventive Maintenance Jobs</t>
  </si>
  <si>
    <t>Average PM Completion Time(hrs)</t>
  </si>
  <si>
    <t>Average of Compliance Rate(%)</t>
  </si>
  <si>
    <t>Sum of Overdue PM tasks</t>
  </si>
  <si>
    <t>Average of Average PM Completion Time(hrs)</t>
  </si>
  <si>
    <t>Sum of Actual Maintenance Cost</t>
  </si>
  <si>
    <t>Sum of Planned Preventive Maintenance Jobs</t>
  </si>
  <si>
    <t>Sum of Completed Preventive Maintenance Jobs</t>
  </si>
  <si>
    <t>Row Labels</t>
  </si>
  <si>
    <t>Grand Total</t>
  </si>
  <si>
    <t>01-01-2026 - 08-01-2026</t>
  </si>
  <si>
    <t>09-01-2026 - 16-01-2026</t>
  </si>
  <si>
    <t>17-01-2026 - 24-01-2026</t>
  </si>
  <si>
    <t>25-01-2026 - 01-02-2026</t>
  </si>
  <si>
    <t>02-02-2026 - 09-02-2026</t>
  </si>
  <si>
    <t>10-02-2026 - 14-02-2026</t>
  </si>
  <si>
    <t>Planned Maint Cost</t>
  </si>
  <si>
    <t xml:space="preserve"> Actual Maint Cost</t>
  </si>
  <si>
    <t>1st Jan - 8th Jan</t>
  </si>
  <si>
    <t>9th Jan - 16th Jan</t>
  </si>
  <si>
    <t>17th Jan - 24th Jan</t>
  </si>
  <si>
    <t>25th Jan - 1 Feb</t>
  </si>
  <si>
    <t>10th feb - 14th feb</t>
  </si>
  <si>
    <t>Planned Jobs</t>
  </si>
  <si>
    <t>Overdue Taks</t>
  </si>
  <si>
    <t>Completed</t>
  </si>
  <si>
    <t>25th Jan - 1st Feb</t>
  </si>
  <si>
    <t>2nd Feb - 9th Feb</t>
  </si>
  <si>
    <t>10th Feb - 14th Feb</t>
  </si>
  <si>
    <t>9th jan - 16th Jan</t>
  </si>
  <si>
    <t>Total PM Jobs</t>
  </si>
  <si>
    <t>Total Maintenance Cost</t>
  </si>
  <si>
    <t>Sum of Planned Maintenance Cost</t>
  </si>
  <si>
    <t>Average of PM scheduled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</si>
</sst>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  <numFmt numFmtId="165" formatCode="0.0000%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  <xf numFmtId="9" fontId="0" fillId="0" borderId="0" xfId="2" applyFont="1" applyAlignment="1">
      <alignment vertical="center" wrapText="1"/>
    </xf>
    <xf numFmtId="9" fontId="0" fillId="0" borderId="0" xfId="2" applyFont="1"/>
    <xf numFmtId="1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2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9" fontId="0" fillId="0" borderId="0" xfId="2" applyFont="1" applyBorder="1" applyAlignment="1">
      <alignment vertical="center" wrapText="1"/>
    </xf>
    <xf numFmtId="164" fontId="0" fillId="0" borderId="0" xfId="1" applyNumberFormat="1" applyFont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36">
    <dxf>
      <numFmt numFmtId="164" formatCode="_ &quot;₹&quot;\ * #,##0_ ;_ &quot;₹&quot;\ * \-#,##0_ ;_ &quot;₹&quot;\ * &quot;-&quot;??_ ;_ @_ "/>
    </dxf>
    <dxf>
      <numFmt numFmtId="1" formatCode="0"/>
    </dxf>
    <dxf>
      <numFmt numFmtId="0" formatCode="General"/>
    </dxf>
    <dxf>
      <numFmt numFmtId="0" formatCode="General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0" formatCode="General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1" formatCode="0"/>
    </dxf>
    <dxf>
      <numFmt numFmtId="13" formatCode="0%"/>
    </dxf>
    <dxf>
      <numFmt numFmtId="13" formatCode="0%"/>
    </dxf>
    <dxf>
      <numFmt numFmtId="166" formatCode="0.0%"/>
    </dxf>
    <dxf>
      <numFmt numFmtId="165" formatCode="0.0000%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0" formatCode="General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166" formatCode="0.0%"/>
    </dxf>
    <dxf>
      <numFmt numFmtId="0" formatCode="General"/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&quot;₹&quot;\ * #,##0_ ;_ &quot;₹&quot;\ * \-#,##0_ ;_ &quot;₹&quot;\ * &quot;-&quot;??_ ;_ @_ 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&quot;₹&quot;\ * #,##0_ ;_ &quot;₹&quot;\ * \-#,##0_ ;_ &quot;₹&quot;\ * &quot;-&quot;??_ ;_ 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29AA6"/>
      <color rgb="FF0078A8"/>
      <color rgb="FF008080"/>
      <color rgb="FF0092F6"/>
      <color rgb="FFDDEEFF"/>
      <color rgb="FFF3F5FB"/>
      <color rgb="FFF9FAFD"/>
      <color rgb="FFECDBF9"/>
      <color rgb="FFEBF2F9"/>
      <color rgb="FFF3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Compliance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Tables'!$F$3:$F$9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Tables'!$G$3:$G$9</c:f>
              <c:numCache>
                <c:formatCode>0.0%</c:formatCode>
                <c:ptCount val="6"/>
                <c:pt idx="0">
                  <c:v>0.9375</c:v>
                </c:pt>
                <c:pt idx="1">
                  <c:v>0.9425</c:v>
                </c:pt>
                <c:pt idx="2">
                  <c:v>0.93874999999999997</c:v>
                </c:pt>
                <c:pt idx="3">
                  <c:v>0.94374999999999998</c:v>
                </c:pt>
                <c:pt idx="4">
                  <c:v>0.94</c:v>
                </c:pt>
                <c:pt idx="5">
                  <c:v>0.94500000000000006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2-43BD-A539-DC23812F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575951"/>
        <c:axId val="1063572591"/>
      </c:lineChart>
      <c:catAx>
        <c:axId val="10635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72591"/>
        <c:crosses val="autoZero"/>
        <c:auto val="1"/>
        <c:lblAlgn val="ctr"/>
        <c:lblOffset val="100"/>
        <c:noMultiLvlLbl val="0"/>
      </c:catAx>
      <c:valAx>
        <c:axId val="10635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7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Cost Analysis</a:t>
            </a:r>
          </a:p>
        </c:rich>
      </c:tx>
      <c:layout>
        <c:manualLayout>
          <c:xMode val="edge"/>
          <c:yMode val="edge"/>
          <c:x val="0.4094930008748907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13878582775538"/>
          <c:y val="8.9919797840158563E-2"/>
          <c:w val="0.83809903090717963"/>
          <c:h val="0.71330230126385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Tables'!$K$2</c:f>
              <c:strCache>
                <c:ptCount val="1"/>
                <c:pt idx="0">
                  <c:v>Planned Maint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Tables'!$J$3:$J$9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Tables'!$K$3:$K$9</c:f>
              <c:numCache>
                <c:formatCode>_ "₹"\ * #,##0_ ;_ "₹"\ * \-#,##0_ ;_ "₹"\ * "-"??_ ;_ @_ </c:formatCode>
                <c:ptCount val="6"/>
                <c:pt idx="0">
                  <c:v>101300</c:v>
                </c:pt>
                <c:pt idx="1">
                  <c:v>104000</c:v>
                </c:pt>
                <c:pt idx="2">
                  <c:v>103200</c:v>
                </c:pt>
                <c:pt idx="3">
                  <c:v>103850</c:v>
                </c:pt>
                <c:pt idx="4">
                  <c:v>103350</c:v>
                </c:pt>
                <c:pt idx="5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A-4FBD-A8C2-CF576BE4A5A9}"/>
            </c:ext>
          </c:extLst>
        </c:ser>
        <c:ser>
          <c:idx val="1"/>
          <c:order val="1"/>
          <c:tx>
            <c:strRef>
              <c:f>'Pivot Tables'!$L$2</c:f>
              <c:strCache>
                <c:ptCount val="1"/>
                <c:pt idx="0">
                  <c:v> Actual Maint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Tables'!$J$3:$J$9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Tables'!$L$3:$L$9</c:f>
              <c:numCache>
                <c:formatCode>_ "₹"\ * #,##0_ ;_ "₹"\ * \-#,##0_ ;_ "₹"\ * "-"??_ ;_ @_ </c:formatCode>
                <c:ptCount val="6"/>
                <c:pt idx="0">
                  <c:v>102800</c:v>
                </c:pt>
                <c:pt idx="1">
                  <c:v>105450</c:v>
                </c:pt>
                <c:pt idx="2">
                  <c:v>104600</c:v>
                </c:pt>
                <c:pt idx="3">
                  <c:v>105350</c:v>
                </c:pt>
                <c:pt idx="4">
                  <c:v>105050</c:v>
                </c:pt>
                <c:pt idx="5">
                  <c:v>52850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A-4FBD-A8C2-CF576BE4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8696864"/>
        <c:axId val="2018707904"/>
        <c:axId val="0"/>
      </c:bar3DChart>
      <c:catAx>
        <c:axId val="20186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07904"/>
        <c:crosses val="autoZero"/>
        <c:auto val="1"/>
        <c:lblAlgn val="ctr"/>
        <c:lblOffset val="100"/>
        <c:noMultiLvlLbl val="0"/>
      </c:catAx>
      <c:valAx>
        <c:axId val="20187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555555555555558E-3"/>
          <c:y val="0.88078594342373873"/>
          <c:w val="0.99444444444444446"/>
          <c:h val="0.11805774278215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Overdue</a:t>
            </a:r>
            <a:r>
              <a:rPr lang="en-US" b="1" baseline="0"/>
              <a:t> Tasks Breakdown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620581802274718"/>
          <c:y val="0.15172981720031212"/>
          <c:w val="0.43586111111111109"/>
          <c:h val="0.63729068860092364"/>
        </c:manualLayout>
      </c:layout>
      <c:doughnutChart>
        <c:varyColors val="1"/>
        <c:ser>
          <c:idx val="0"/>
          <c:order val="0"/>
          <c:tx>
            <c:strRef>
              <c:f>'Pivot Tables'!$K$28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36-4353-92DB-A88371F037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36-4353-92DB-A88371F037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36-4353-92DB-A88371F037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36-4353-92DB-A88371F037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36-4353-92DB-A88371F037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36-4353-92DB-A88371F03784}"/>
              </c:ext>
            </c:extLst>
          </c:dPt>
          <c:cat>
            <c:strRef>
              <c:f>'Pivot Tables'!$J$29:$J$35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Tables'!$K$29:$K$35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21</c:v>
                </c:pt>
                <c:pt idx="4">
                  <c:v>24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8-4903-9C0D-2D4E134C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38280839895013E-2"/>
          <c:y val="0.81212780694079911"/>
          <c:w val="0.9567274715660542"/>
          <c:h val="0.1863458734324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Compliance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29AA6"/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bg2">
                  <a:lumMod val="1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29AA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Tables'!$F$3:$F$9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Tables'!$G$3:$G$9</c:f>
              <c:numCache>
                <c:formatCode>0.0%</c:formatCode>
                <c:ptCount val="6"/>
                <c:pt idx="0">
                  <c:v>0.9375</c:v>
                </c:pt>
                <c:pt idx="1">
                  <c:v>0.9425</c:v>
                </c:pt>
                <c:pt idx="2">
                  <c:v>0.93874999999999997</c:v>
                </c:pt>
                <c:pt idx="3">
                  <c:v>0.94374999999999998</c:v>
                </c:pt>
                <c:pt idx="4">
                  <c:v>0.94</c:v>
                </c:pt>
                <c:pt idx="5">
                  <c:v>0.94500000000000006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4-42D7-978A-6283FD8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575951"/>
        <c:axId val="1063572591"/>
      </c:lineChart>
      <c:catAx>
        <c:axId val="10635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72591"/>
        <c:crosses val="autoZero"/>
        <c:auto val="1"/>
        <c:lblAlgn val="ctr"/>
        <c:lblOffset val="100"/>
        <c:noMultiLvlLbl val="0"/>
      </c:catAx>
      <c:valAx>
        <c:axId val="10635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7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Planned vs Completed Jobs</a:t>
            </a:r>
          </a:p>
        </c:rich>
      </c:tx>
      <c:layout>
        <c:manualLayout>
          <c:xMode val="edge"/>
          <c:yMode val="edge"/>
          <c:x val="0.234149434139428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29AA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44369990572929E-2"/>
          <c:y val="0.21192167630337722"/>
          <c:w val="0.88197514849651315"/>
          <c:h val="0.55025375056900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Tables'!$C$19</c:f>
              <c:strCache>
                <c:ptCount val="1"/>
                <c:pt idx="0">
                  <c:v>Sum of Completed Preventive Maintenance Jobs</c:v>
                </c:pt>
              </c:strCache>
            </c:strRef>
          </c:tx>
          <c:spPr>
            <a:solidFill>
              <a:srgbClr val="029AA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cat>
            <c:strRef>
              <c:f>'Pivot Tables'!$B$20:$B$26</c:f>
              <c:strCache>
                <c:ptCount val="6"/>
                <c:pt idx="0">
                  <c:v>01-01-2026 - 08-01-2026</c:v>
                </c:pt>
                <c:pt idx="1">
                  <c:v>09-01-2026 - 16-01-2026</c:v>
                </c:pt>
                <c:pt idx="2">
                  <c:v>17-01-2026 - 24-01-2026</c:v>
                </c:pt>
                <c:pt idx="3">
                  <c:v>25-01-2026 - 01-02-2026</c:v>
                </c:pt>
                <c:pt idx="4">
                  <c:v>02-02-2026 - 09-02-2026</c:v>
                </c:pt>
                <c:pt idx="5">
                  <c:v>10-02-2026 - 14-02-2026</c:v>
                </c:pt>
              </c:strCache>
            </c:strRef>
          </c:cat>
          <c:val>
            <c:numRef>
              <c:f>'Pivot Tables'!$C$20:$C$26</c:f>
              <c:numCache>
                <c:formatCode>General</c:formatCode>
                <c:ptCount val="6"/>
                <c:pt idx="0">
                  <c:v>334</c:v>
                </c:pt>
                <c:pt idx="1">
                  <c:v>342</c:v>
                </c:pt>
                <c:pt idx="2">
                  <c:v>338</c:v>
                </c:pt>
                <c:pt idx="3">
                  <c:v>342</c:v>
                </c:pt>
                <c:pt idx="4">
                  <c:v>339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E-4129-BBA9-E1B8E66053FD}"/>
            </c:ext>
          </c:extLst>
        </c:ser>
        <c:ser>
          <c:idx val="2"/>
          <c:order val="2"/>
          <c:tx>
            <c:strRef>
              <c:f>'Pivot Tables'!$E$19</c:f>
              <c:strCache>
                <c:ptCount val="1"/>
                <c:pt idx="0">
                  <c:v>Sum of Planned Preventive Maintenance Jobs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cat>
            <c:strRef>
              <c:f>'Pivot Tables'!$B$20:$B$26</c:f>
              <c:strCache>
                <c:ptCount val="6"/>
                <c:pt idx="0">
                  <c:v>01-01-2026 - 08-01-2026</c:v>
                </c:pt>
                <c:pt idx="1">
                  <c:v>09-01-2026 - 16-01-2026</c:v>
                </c:pt>
                <c:pt idx="2">
                  <c:v>17-01-2026 - 24-01-2026</c:v>
                </c:pt>
                <c:pt idx="3">
                  <c:v>25-01-2026 - 01-02-2026</c:v>
                </c:pt>
                <c:pt idx="4">
                  <c:v>02-02-2026 - 09-02-2026</c:v>
                </c:pt>
                <c:pt idx="5">
                  <c:v>10-02-2026 - 14-02-2026</c:v>
                </c:pt>
              </c:strCache>
            </c:strRef>
          </c:cat>
          <c:val>
            <c:numRef>
              <c:f>'Pivot Tables'!$E$20:$E$26</c:f>
              <c:numCache>
                <c:formatCode>General</c:formatCode>
                <c:ptCount val="6"/>
                <c:pt idx="0">
                  <c:v>352</c:v>
                </c:pt>
                <c:pt idx="1">
                  <c:v>359</c:v>
                </c:pt>
                <c:pt idx="2">
                  <c:v>356</c:v>
                </c:pt>
                <c:pt idx="3">
                  <c:v>359</c:v>
                </c:pt>
                <c:pt idx="4">
                  <c:v>358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E-4129-BBA9-E1B8E660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2873663"/>
        <c:axId val="1142874623"/>
      </c:barChart>
      <c:lineChart>
        <c:grouping val="standard"/>
        <c:varyColors val="0"/>
        <c:ser>
          <c:idx val="1"/>
          <c:order val="1"/>
          <c:tx>
            <c:strRef>
              <c:f>'Pivot Tables'!$D$19</c:f>
              <c:strCache>
                <c:ptCount val="1"/>
                <c:pt idx="0">
                  <c:v>Sum of Overdue PM tasks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'Pivot Tables'!$B$20:$B$26</c:f>
              <c:strCache>
                <c:ptCount val="6"/>
                <c:pt idx="0">
                  <c:v>01-01-2026 - 08-01-2026</c:v>
                </c:pt>
                <c:pt idx="1">
                  <c:v>09-01-2026 - 16-01-2026</c:v>
                </c:pt>
                <c:pt idx="2">
                  <c:v>17-01-2026 - 24-01-2026</c:v>
                </c:pt>
                <c:pt idx="3">
                  <c:v>25-01-2026 - 01-02-2026</c:v>
                </c:pt>
                <c:pt idx="4">
                  <c:v>02-02-2026 - 09-02-2026</c:v>
                </c:pt>
                <c:pt idx="5">
                  <c:v>10-02-2026 - 14-02-2026</c:v>
                </c:pt>
              </c:strCache>
            </c:strRef>
          </c:cat>
          <c:val>
            <c:numRef>
              <c:f>'Pivot Tables'!$D$20:$D$26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21</c:v>
                </c:pt>
                <c:pt idx="4">
                  <c:v>24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3E-4129-BBA9-E1B8E660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976527"/>
        <c:axId val="1143978927"/>
      </c:lineChart>
      <c:catAx>
        <c:axId val="1142873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74623"/>
        <c:crosses val="autoZero"/>
        <c:auto val="1"/>
        <c:lblAlgn val="ctr"/>
        <c:lblOffset val="100"/>
        <c:noMultiLvlLbl val="0"/>
      </c:catAx>
      <c:valAx>
        <c:axId val="11428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73663"/>
        <c:crosses val="autoZero"/>
        <c:crossBetween val="between"/>
      </c:valAx>
      <c:valAx>
        <c:axId val="11439789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76527"/>
        <c:crosses val="max"/>
        <c:crossBetween val="between"/>
      </c:valAx>
      <c:catAx>
        <c:axId val="114397652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4397892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1.6809304520464984E-2"/>
          <c:y val="0.91119456470155236"/>
          <c:w val="0.9708029962451834"/>
          <c:h val="8.458695315299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Cost Analysis</a:t>
            </a:r>
          </a:p>
        </c:rich>
      </c:tx>
      <c:layout>
        <c:manualLayout>
          <c:xMode val="edge"/>
          <c:yMode val="edge"/>
          <c:x val="0.35813390233787928"/>
          <c:y val="6.51609139015561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9AA6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80795802464053"/>
          <c:y val="7.3323978176774385E-2"/>
          <c:w val="0.83809903090717963"/>
          <c:h val="0.69833608992031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Tables'!$K$2</c:f>
              <c:strCache>
                <c:ptCount val="1"/>
                <c:pt idx="0">
                  <c:v>Planned Maint Cost</c:v>
                </c:pt>
              </c:strCache>
            </c:strRef>
          </c:tx>
          <c:spPr>
            <a:solidFill>
              <a:srgbClr val="029AA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cat>
            <c:strRef>
              <c:f>'Pivot Tables'!$J$3:$J$9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Tables'!$K$3:$K$9</c:f>
              <c:numCache>
                <c:formatCode>_ "₹"\ * #,##0_ ;_ "₹"\ * \-#,##0_ ;_ "₹"\ * "-"??_ ;_ @_ </c:formatCode>
                <c:ptCount val="6"/>
                <c:pt idx="0">
                  <c:v>101300</c:v>
                </c:pt>
                <c:pt idx="1">
                  <c:v>104000</c:v>
                </c:pt>
                <c:pt idx="2">
                  <c:v>103200</c:v>
                </c:pt>
                <c:pt idx="3">
                  <c:v>103850</c:v>
                </c:pt>
                <c:pt idx="4">
                  <c:v>103350</c:v>
                </c:pt>
                <c:pt idx="5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9-4591-9CD3-EB31D4CB0339}"/>
            </c:ext>
          </c:extLst>
        </c:ser>
        <c:ser>
          <c:idx val="1"/>
          <c:order val="1"/>
          <c:tx>
            <c:strRef>
              <c:f>'Pivot Tables'!$L$2</c:f>
              <c:strCache>
                <c:ptCount val="1"/>
                <c:pt idx="0">
                  <c:v> Actual Maint Cost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cat>
            <c:strRef>
              <c:f>'Pivot Tables'!$J$3:$J$9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- 1st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Tables'!$L$3:$L$9</c:f>
              <c:numCache>
                <c:formatCode>_ "₹"\ * #,##0_ ;_ "₹"\ * \-#,##0_ ;_ "₹"\ * "-"??_ ;_ @_ </c:formatCode>
                <c:ptCount val="6"/>
                <c:pt idx="0">
                  <c:v>102800</c:v>
                </c:pt>
                <c:pt idx="1">
                  <c:v>105450</c:v>
                </c:pt>
                <c:pt idx="2">
                  <c:v>104600</c:v>
                </c:pt>
                <c:pt idx="3">
                  <c:v>105350</c:v>
                </c:pt>
                <c:pt idx="4">
                  <c:v>105050</c:v>
                </c:pt>
                <c:pt idx="5">
                  <c:v>52850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9-4591-9CD3-EB31D4CB0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696864"/>
        <c:axId val="2018707904"/>
      </c:barChart>
      <c:catAx>
        <c:axId val="20186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07904"/>
        <c:crosses val="autoZero"/>
        <c:auto val="1"/>
        <c:lblAlgn val="ctr"/>
        <c:lblOffset val="100"/>
        <c:noMultiLvlLbl val="0"/>
      </c:catAx>
      <c:valAx>
        <c:axId val="2018707904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555555555555558E-3"/>
          <c:y val="0.88078594342373873"/>
          <c:w val="0.96240584045701416"/>
          <c:h val="0.11921418710341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[Preventive Maintenance.xlsx]Pivot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Overdue</a:t>
            </a:r>
            <a:r>
              <a:rPr lang="en-US" b="1" baseline="0"/>
              <a:t> Tasks Breakdown</a:t>
            </a:r>
            <a:endParaRPr lang="en-US" b="1"/>
          </a:p>
        </c:rich>
      </c:tx>
      <c:layout>
        <c:manualLayout>
          <c:xMode val="edge"/>
          <c:yMode val="edge"/>
          <c:x val="0.102841100673425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  <c:pivotFmt>
        <c:idx val="10"/>
        <c:spPr>
          <a:solidFill>
            <a:schemeClr val="bg2">
              <a:lumMod val="50000"/>
            </a:schemeClr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  <c:pivotFmt>
        <c:idx val="11"/>
        <c:spPr>
          <a:solidFill>
            <a:srgbClr val="0070C0"/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  <c:pivotFmt>
        <c:idx val="12"/>
        <c:spPr>
          <a:solidFill>
            <a:schemeClr val="tx1">
              <a:lumMod val="95000"/>
              <a:lumOff val="5000"/>
            </a:schemeClr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  <c:pivotFmt>
        <c:idx val="13"/>
        <c:spPr>
          <a:solidFill>
            <a:srgbClr val="379BFF"/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  <c:pivotFmt>
        <c:idx val="14"/>
        <c:spPr>
          <a:solidFill>
            <a:schemeClr val="bg2">
              <a:lumMod val="25000"/>
            </a:schemeClr>
          </a:solidFill>
          <a:ln w="19050">
            <a:noFill/>
          </a:ln>
          <a:effectLst/>
          <a:scene3d>
            <a:camera prst="orthographicFront"/>
            <a:lightRig rig="threePt" dir="t"/>
          </a:scene3d>
          <a:sp3d>
            <a:bevelT w="12700"/>
          </a:sp3d>
        </c:spPr>
      </c:pivotFmt>
    </c:pivotFmts>
    <c:plotArea>
      <c:layout>
        <c:manualLayout>
          <c:layoutTarget val="inner"/>
          <c:xMode val="edge"/>
          <c:yMode val="edge"/>
          <c:x val="0.27539421645674517"/>
          <c:y val="0.15077620561098251"/>
          <c:w val="0.43586111111111109"/>
          <c:h val="0.63729068860092364"/>
        </c:manualLayout>
      </c:layout>
      <c:doughnutChart>
        <c:varyColors val="1"/>
        <c:ser>
          <c:idx val="0"/>
          <c:order val="0"/>
          <c:tx>
            <c:strRef>
              <c:f>'Pivot Tables'!$K$28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2700"/>
            </a:sp3d>
          </c:spPr>
          <c:dPt>
            <c:idx val="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1-0185-4E0F-BAE5-2F835FB6AAE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3-0185-4E0F-BAE5-2F835FB6AAEC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5-0185-4E0F-BAE5-2F835FB6AAEC}"/>
              </c:ext>
            </c:extLst>
          </c:dPt>
          <c:dPt>
            <c:idx val="3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7-0185-4E0F-BAE5-2F835FB6AAEC}"/>
              </c:ext>
            </c:extLst>
          </c:dPt>
          <c:dPt>
            <c:idx val="4"/>
            <c:bubble3D val="0"/>
            <c:spPr>
              <a:solidFill>
                <a:srgbClr val="379BFF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9-0185-4E0F-BAE5-2F835FB6AAEC}"/>
              </c:ext>
            </c:extLst>
          </c:dPt>
          <c:dPt>
            <c:idx val="5"/>
            <c:bubble3D val="0"/>
            <c:spPr>
              <a:solidFill>
                <a:schemeClr val="bg2">
                  <a:lumMod val="2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B-0185-4E0F-BAE5-2F835FB6AA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Tables'!$J$29:$J$35</c:f>
              <c:strCache>
                <c:ptCount val="6"/>
                <c:pt idx="0">
                  <c:v>1st Jan - 8th Jan</c:v>
                </c:pt>
                <c:pt idx="1">
                  <c:v>9th Jan - 16th Jan</c:v>
                </c:pt>
                <c:pt idx="2">
                  <c:v>17th Jan - 24th Jan</c:v>
                </c:pt>
                <c:pt idx="3">
                  <c:v>25th Jan - 1 Feb</c:v>
                </c:pt>
                <c:pt idx="4">
                  <c:v>2nd Feb - 9th Feb</c:v>
                </c:pt>
                <c:pt idx="5">
                  <c:v>10th feb - 14th feb</c:v>
                </c:pt>
              </c:strCache>
            </c:strRef>
          </c:cat>
          <c:val>
            <c:numRef>
              <c:f>'Pivot Tables'!$K$29:$K$35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21</c:v>
                </c:pt>
                <c:pt idx="4">
                  <c:v>24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85-4E0F-BAE5-2F835FB6AA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38280839895013E-2"/>
          <c:y val="0.81212780694079911"/>
          <c:w val="0.9567274715660542"/>
          <c:h val="0.1863458734324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Adherence Funnel</a:t>
            </a:r>
          </a:p>
        </c:rich>
      </c:tx>
      <c:layout>
        <c:manualLayout>
          <c:xMode val="edge"/>
          <c:yMode val="edge"/>
          <c:x val="0.17401972413064201"/>
          <c:y val="4.5540279839640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27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2-F74D-4F27-A130-FF6A035124C3}"/>
              </c:ext>
            </c:extLst>
          </c:dPt>
          <c:dPt>
            <c:idx val="1"/>
            <c:invertIfNegative val="0"/>
            <c:bubble3D val="0"/>
            <c:spPr>
              <a:solidFill>
                <a:srgbClr val="029AA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4-B47D-4763-A528-80ACD84F688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extLst>
              <c:ext xmlns:c16="http://schemas.microsoft.com/office/drawing/2014/chart" uri="{C3380CC4-5D6E-409C-BE32-E72D297353CC}">
                <c16:uniqueId val="{00000004-F74D-4F27-A130-FF6A035124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Tables'!$F$43:$F$45</c:f>
              <c:strCache>
                <c:ptCount val="3"/>
                <c:pt idx="0">
                  <c:v>Planned Jobs</c:v>
                </c:pt>
                <c:pt idx="1">
                  <c:v>Completed</c:v>
                </c:pt>
                <c:pt idx="2">
                  <c:v>Overdue Taks</c:v>
                </c:pt>
              </c:strCache>
            </c:strRef>
          </c:cat>
          <c:val>
            <c:numRef>
              <c:f>'Pivot Tables'!$G$43:$G$45</c:f>
              <c:numCache>
                <c:formatCode>General</c:formatCode>
                <c:ptCount val="3"/>
                <c:pt idx="0">
                  <c:v>1964</c:v>
                </c:pt>
                <c:pt idx="1">
                  <c:v>1867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D-4F27-A130-FF6A035124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187790560"/>
        <c:axId val="187786240"/>
      </c:barChart>
      <c:catAx>
        <c:axId val="18779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6240"/>
        <c:crosses val="autoZero"/>
        <c:auto val="1"/>
        <c:lblAlgn val="ctr"/>
        <c:lblOffset val="100"/>
        <c:noMultiLvlLbl val="0"/>
      </c:catAx>
      <c:valAx>
        <c:axId val="18778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79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image" Target="../media/image13.png"/><Relationship Id="rId26" Type="http://schemas.openxmlformats.org/officeDocument/2006/relationships/image" Target="../media/image21.png"/><Relationship Id="rId3" Type="http://schemas.openxmlformats.org/officeDocument/2006/relationships/chart" Target="../charts/chart6.xml"/><Relationship Id="rId21" Type="http://schemas.openxmlformats.org/officeDocument/2006/relationships/image" Target="../media/image16.svg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5" Type="http://schemas.openxmlformats.org/officeDocument/2006/relationships/image" Target="../media/image20.svg"/><Relationship Id="rId2" Type="http://schemas.openxmlformats.org/officeDocument/2006/relationships/chart" Target="../charts/chart5.xml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29" Type="http://schemas.openxmlformats.org/officeDocument/2006/relationships/image" Target="../media/image24.svg"/><Relationship Id="rId1" Type="http://schemas.openxmlformats.org/officeDocument/2006/relationships/chart" Target="../charts/chart4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24" Type="http://schemas.openxmlformats.org/officeDocument/2006/relationships/image" Target="../media/image19.png"/><Relationship Id="rId5" Type="http://schemas.openxmlformats.org/officeDocument/2006/relationships/chart" Target="../charts/chart8.xml"/><Relationship Id="rId15" Type="http://schemas.openxmlformats.org/officeDocument/2006/relationships/image" Target="../media/image10.svg"/><Relationship Id="rId23" Type="http://schemas.openxmlformats.org/officeDocument/2006/relationships/image" Target="../media/image18.svg"/><Relationship Id="rId28" Type="http://schemas.openxmlformats.org/officeDocument/2006/relationships/image" Target="../media/image23.png"/><Relationship Id="rId10" Type="http://schemas.openxmlformats.org/officeDocument/2006/relationships/image" Target="../media/image5.png"/><Relationship Id="rId19" Type="http://schemas.openxmlformats.org/officeDocument/2006/relationships/image" Target="../media/image14.jpeg"/><Relationship Id="rId4" Type="http://schemas.openxmlformats.org/officeDocument/2006/relationships/chart" Target="../charts/chart7.xml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image" Target="../media/image17.png"/><Relationship Id="rId27" Type="http://schemas.openxmlformats.org/officeDocument/2006/relationships/image" Target="../media/image2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2086994</xdr:colOff>
      <xdr:row>3</xdr:row>
      <xdr:rowOff>152223</xdr:rowOff>
    </xdr:from>
    <xdr:to>
      <xdr:col>7</xdr:col>
      <xdr:colOff>2989831</xdr:colOff>
      <xdr:row>18</xdr:row>
      <xdr:rowOff>152223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9CEA0-4EA1-AF90-78FD-446FEDE5B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179040</xdr:colOff>
      <xdr:row>4</xdr:row>
      <xdr:rowOff>107998</xdr:rowOff>
    </xdr:from>
    <xdr:to>
      <xdr:col>17</xdr:col>
      <xdr:colOff>398903</xdr:colOff>
      <xdr:row>23</xdr:row>
      <xdr:rowOff>75913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55A8-F028-2C43-0EFC-2F075ADF7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461586</xdr:colOff>
      <xdr:row>26</xdr:row>
      <xdr:rowOff>166311</xdr:rowOff>
    </xdr:from>
    <xdr:to>
      <xdr:col>15</xdr:col>
      <xdr:colOff>487288</xdr:colOff>
      <xdr:row>44</xdr:row>
      <xdr:rowOff>109160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B8AF3-E8D2-B9AD-682B-89718E471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152939</xdr:colOff>
      <xdr:row>1</xdr:row>
      <xdr:rowOff>100133</xdr:rowOff>
    </xdr:from>
    <xdr:to>
      <xdr:col>20</xdr:col>
      <xdr:colOff>443838</xdr:colOff>
      <xdr:row>51</xdr:row>
      <xdr:rowOff>157021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C2E7E198-D9D8-523A-1DC1-3711F0C67757}"/>
            </a:ext>
          </a:extLst>
        </xdr:cNvPr>
        <xdr:cNvGrpSpPr/>
      </xdr:nvGrpSpPr>
      <xdr:grpSpPr>
        <a:xfrm>
          <a:off x="5658657" y="282584"/>
          <a:ext cx="7020111" cy="9179423"/>
          <a:chOff x="1109410" y="361872"/>
          <a:chExt cx="6962287" cy="9391661"/>
        </a:xfrm>
      </xdr:grpSpPr>
      <xdr:sp macro="" textlink="">
        <xdr:nvSpPr>
          <xdr:cNvPr id="26" name="Rectangle: Rounded Corners 1">
            <a:extLst>
              <a:ext uri="{FF2B5EF4-FFF2-40B4-BE49-F238E27FC236}">
                <a16:creationId xmlns:a16="http://schemas.microsoft.com/office/drawing/2014/main" id="{9163A729-332D-774F-F00F-CB993981B686}"/>
              </a:ext>
            </a:extLst>
          </xdr:cNvPr>
          <xdr:cNvSpPr/>
        </xdr:nvSpPr>
        <xdr:spPr>
          <a:xfrm>
            <a:off x="1109410" y="361872"/>
            <a:ext cx="6920100" cy="9391661"/>
          </a:xfrm>
          <a:prstGeom prst="roundRect">
            <a:avLst>
              <a:gd name="adj" fmla="val 1076"/>
            </a:avLst>
          </a:prstGeom>
          <a:gradFill flip="none" rotWithShape="1">
            <a:gsLst>
              <a:gs pos="0">
                <a:srgbClr val="F3F5FB"/>
              </a:gs>
              <a:gs pos="100000">
                <a:srgbClr val="F3F5FB"/>
              </a:gs>
            </a:gsLst>
            <a:path path="circle">
              <a:fillToRect l="100000" t="100000"/>
            </a:path>
            <a:tileRect r="-100000" b="-100000"/>
          </a:gradFill>
          <a:scene3d>
            <a:camera prst="orthographicFront"/>
            <a:lightRig rig="threePt" dir="t"/>
          </a:scene3d>
          <a:sp3d>
            <a:bevelT w="1905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27" name="Group 37">
            <a:extLst>
              <a:ext uri="{FF2B5EF4-FFF2-40B4-BE49-F238E27FC236}">
                <a16:creationId xmlns:a16="http://schemas.microsoft.com/office/drawing/2014/main" id="{BE5F8035-F54C-A644-E807-B877C11507BB}"/>
              </a:ext>
            </a:extLst>
          </xdr:cNvPr>
          <xdr:cNvGrpSpPr/>
        </xdr:nvGrpSpPr>
        <xdr:grpSpPr>
          <a:xfrm>
            <a:off x="1191128" y="7721159"/>
            <a:ext cx="6712946" cy="1923065"/>
            <a:chOff x="1234440" y="4010439"/>
            <a:chExt cx="3177903" cy="1685014"/>
          </a:xfrm>
        </xdr:grpSpPr>
        <xdr:sp macro="" textlink="">
          <xdr:nvSpPr>
            <xdr:cNvPr id="28" name="Rectangle: Rounded Corners 12">
              <a:extLst>
                <a:ext uri="{FF2B5EF4-FFF2-40B4-BE49-F238E27FC236}">
                  <a16:creationId xmlns:a16="http://schemas.microsoft.com/office/drawing/2014/main" id="{F4B35170-A74D-48D5-8F8D-9FC8AF553FB4}"/>
                </a:ext>
              </a:extLst>
            </xdr:cNvPr>
            <xdr:cNvSpPr/>
          </xdr:nvSpPr>
          <xdr:spPr>
            <a:xfrm>
              <a:off x="1234440" y="4010439"/>
              <a:ext cx="3177903" cy="1685014"/>
            </a:xfrm>
            <a:prstGeom prst="roundRect">
              <a:avLst>
                <a:gd name="adj" fmla="val 5996"/>
              </a:avLst>
            </a:prstGeom>
            <a:gradFill>
              <a:gsLst>
                <a:gs pos="0">
                  <a:srgbClr val="F3F7FB"/>
                </a:gs>
                <a:gs pos="100000">
                  <a:srgbClr val="F3F7FB"/>
                </a:gs>
              </a:gsLst>
              <a:lin ang="5400000" scaled="1"/>
            </a:gradFill>
            <a:scene3d>
              <a:camera prst="orthographicFront"/>
              <a:lightRig rig="threePt" dir="t"/>
            </a:scene3d>
            <a:sp3d>
              <a:bevelT w="1905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29" name="Chart 14">
              <a:extLst>
                <a:ext uri="{FF2B5EF4-FFF2-40B4-BE49-F238E27FC236}">
                  <a16:creationId xmlns:a16="http://schemas.microsoft.com/office/drawing/2014/main" id="{86018684-7CF4-486C-ACD3-19A2E577FD3F}"/>
                </a:ext>
              </a:extLst>
            </xdr:cNvPr>
            <xdr:cNvGraphicFramePr>
              <a:graphicFrameLocks/>
            </xdr:cNvGraphicFramePr>
          </xdr:nvGraphicFramePr>
          <xdr:xfrm>
            <a:off x="1283989" y="4023572"/>
            <a:ext cx="3073830" cy="165685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50" name="Group 7">
            <a:extLst>
              <a:ext uri="{FF2B5EF4-FFF2-40B4-BE49-F238E27FC236}">
                <a16:creationId xmlns:a16="http://schemas.microsoft.com/office/drawing/2014/main" id="{0D2DDBC3-4316-7DC6-D3ED-B2C2A35603F5}"/>
              </a:ext>
            </a:extLst>
          </xdr:cNvPr>
          <xdr:cNvGrpSpPr/>
        </xdr:nvGrpSpPr>
        <xdr:grpSpPr>
          <a:xfrm>
            <a:off x="1199491" y="3628499"/>
            <a:ext cx="3887568" cy="1562106"/>
            <a:chOff x="2855554" y="2170375"/>
            <a:chExt cx="4307246" cy="1763864"/>
          </a:xfrm>
        </xdr:grpSpPr>
        <xdr:sp macro="" textlink="">
          <xdr:nvSpPr>
            <xdr:cNvPr id="51" name="Rectangle: Rounded Corners 9">
              <a:extLst>
                <a:ext uri="{FF2B5EF4-FFF2-40B4-BE49-F238E27FC236}">
                  <a16:creationId xmlns:a16="http://schemas.microsoft.com/office/drawing/2014/main" id="{A8F81D78-64E3-4F26-A960-7D7E919DD675}"/>
                </a:ext>
              </a:extLst>
            </xdr:cNvPr>
            <xdr:cNvSpPr/>
          </xdr:nvSpPr>
          <xdr:spPr>
            <a:xfrm>
              <a:off x="2855554" y="2170375"/>
              <a:ext cx="4307246" cy="1763864"/>
            </a:xfrm>
            <a:prstGeom prst="roundRect">
              <a:avLst>
                <a:gd name="adj" fmla="val 6139"/>
              </a:avLst>
            </a:prstGeom>
            <a:gradFill>
              <a:gsLst>
                <a:gs pos="0">
                  <a:srgbClr val="F3F7FB"/>
                </a:gs>
                <a:gs pos="100000">
                  <a:srgbClr val="F3F7FB"/>
                </a:gs>
              </a:gsLst>
              <a:lin ang="5400000" scaled="1"/>
            </a:gradFill>
            <a:scene3d>
              <a:camera prst="orthographicFront"/>
              <a:lightRig rig="threePt" dir="t"/>
            </a:scene3d>
            <a:sp3d>
              <a:bevelT w="1905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52" name="Chart 15">
              <a:extLst>
                <a:ext uri="{FF2B5EF4-FFF2-40B4-BE49-F238E27FC236}">
                  <a16:creationId xmlns:a16="http://schemas.microsoft.com/office/drawing/2014/main" id="{9137C90B-7A09-487A-94F9-2236F0E912C5}"/>
                </a:ext>
              </a:extLst>
            </xdr:cNvPr>
            <xdr:cNvGraphicFramePr>
              <a:graphicFrameLocks/>
            </xdr:cNvGraphicFramePr>
          </xdr:nvGraphicFramePr>
          <xdr:xfrm>
            <a:off x="2938984" y="2205427"/>
            <a:ext cx="4144568" cy="16758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53" name="Group 24">
            <a:extLst>
              <a:ext uri="{FF2B5EF4-FFF2-40B4-BE49-F238E27FC236}">
                <a16:creationId xmlns:a16="http://schemas.microsoft.com/office/drawing/2014/main" id="{2E3E698B-834B-0FBD-8127-B487B46E8CCA}"/>
              </a:ext>
            </a:extLst>
          </xdr:cNvPr>
          <xdr:cNvGrpSpPr/>
        </xdr:nvGrpSpPr>
        <xdr:grpSpPr>
          <a:xfrm>
            <a:off x="4289359" y="5270470"/>
            <a:ext cx="3618997" cy="1751778"/>
            <a:chOff x="7261860" y="3964719"/>
            <a:chExt cx="2720340" cy="1738354"/>
          </a:xfrm>
        </xdr:grpSpPr>
        <xdr:sp macro="" textlink="">
          <xdr:nvSpPr>
            <xdr:cNvPr id="55" name="Rectangle: Rounded Corners 11">
              <a:extLst>
                <a:ext uri="{FF2B5EF4-FFF2-40B4-BE49-F238E27FC236}">
                  <a16:creationId xmlns:a16="http://schemas.microsoft.com/office/drawing/2014/main" id="{8C21A011-F8D4-41F8-825D-A486853699E9}"/>
                </a:ext>
              </a:extLst>
            </xdr:cNvPr>
            <xdr:cNvSpPr/>
          </xdr:nvSpPr>
          <xdr:spPr>
            <a:xfrm>
              <a:off x="7261860" y="3964719"/>
              <a:ext cx="2720340" cy="1738354"/>
            </a:xfrm>
            <a:prstGeom prst="roundRect">
              <a:avLst>
                <a:gd name="adj" fmla="val 5992"/>
              </a:avLst>
            </a:prstGeom>
            <a:gradFill>
              <a:gsLst>
                <a:gs pos="0">
                  <a:srgbClr val="F3F7FB"/>
                </a:gs>
                <a:gs pos="100000">
                  <a:srgbClr val="F3F7FB"/>
                </a:gs>
              </a:gsLst>
              <a:lin ang="5400000" scaled="1"/>
            </a:gradFill>
            <a:scene3d>
              <a:camera prst="orthographicFront"/>
              <a:lightRig rig="threePt" dir="t"/>
            </a:scene3d>
            <a:sp3d>
              <a:bevelT w="1905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61" name="Chart 16">
              <a:extLst>
                <a:ext uri="{FF2B5EF4-FFF2-40B4-BE49-F238E27FC236}">
                  <a16:creationId xmlns:a16="http://schemas.microsoft.com/office/drawing/2014/main" id="{8FA52148-CF45-45FA-92C8-008AB412E588}"/>
                </a:ext>
              </a:extLst>
            </xdr:cNvPr>
            <xdr:cNvGraphicFramePr>
              <a:graphicFrameLocks/>
            </xdr:cNvGraphicFramePr>
          </xdr:nvGraphicFramePr>
          <xdr:xfrm>
            <a:off x="7281902" y="4002157"/>
            <a:ext cx="2670202" cy="16726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62" name="Group 35">
            <a:extLst>
              <a:ext uri="{FF2B5EF4-FFF2-40B4-BE49-F238E27FC236}">
                <a16:creationId xmlns:a16="http://schemas.microsoft.com/office/drawing/2014/main" id="{D28E5DEC-F29D-0BC7-B71A-02FB5B7CAC60}"/>
              </a:ext>
            </a:extLst>
          </xdr:cNvPr>
          <xdr:cNvGrpSpPr/>
        </xdr:nvGrpSpPr>
        <xdr:grpSpPr>
          <a:xfrm>
            <a:off x="1202998" y="5251486"/>
            <a:ext cx="3035796" cy="1776565"/>
            <a:chOff x="4480043" y="4010439"/>
            <a:chExt cx="2717757" cy="1685014"/>
          </a:xfrm>
        </xdr:grpSpPr>
        <xdr:sp macro="" textlink="">
          <xdr:nvSpPr>
            <xdr:cNvPr id="63" name="Rectangle: Rounded Corners 13">
              <a:extLst>
                <a:ext uri="{FF2B5EF4-FFF2-40B4-BE49-F238E27FC236}">
                  <a16:creationId xmlns:a16="http://schemas.microsoft.com/office/drawing/2014/main" id="{6B29AF4E-2395-4DC4-A3DC-6C65917ACD49}"/>
                </a:ext>
              </a:extLst>
            </xdr:cNvPr>
            <xdr:cNvSpPr/>
          </xdr:nvSpPr>
          <xdr:spPr>
            <a:xfrm>
              <a:off x="4480043" y="4010439"/>
              <a:ext cx="2717757" cy="1685014"/>
            </a:xfrm>
            <a:prstGeom prst="roundRect">
              <a:avLst>
                <a:gd name="adj" fmla="val 6628"/>
              </a:avLst>
            </a:prstGeom>
            <a:gradFill>
              <a:gsLst>
                <a:gs pos="0">
                  <a:srgbClr val="F3F7FB"/>
                </a:gs>
                <a:gs pos="100000">
                  <a:srgbClr val="F3F7FB"/>
                </a:gs>
              </a:gsLst>
              <a:lin ang="5400000" scaled="1"/>
            </a:gradFill>
            <a:scene3d>
              <a:camera prst="orthographicFront"/>
              <a:lightRig rig="threePt" dir="t"/>
            </a:scene3d>
            <a:sp3d>
              <a:bevelT w="1905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64" name="Chart 17">
              <a:extLst>
                <a:ext uri="{FF2B5EF4-FFF2-40B4-BE49-F238E27FC236}">
                  <a16:creationId xmlns:a16="http://schemas.microsoft.com/office/drawing/2014/main" id="{C8902702-5059-4CF6-928D-E730E84C5C28}"/>
                </a:ext>
              </a:extLst>
            </xdr:cNvPr>
            <xdr:cNvGraphicFramePr>
              <a:graphicFrameLocks/>
            </xdr:cNvGraphicFramePr>
          </xdr:nvGraphicFramePr>
          <xdr:xfrm>
            <a:off x="4547936" y="4028212"/>
            <a:ext cx="2538664" cy="16179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pSp>
        <xdr:nvGrpSpPr>
          <xdr:cNvPr id="65" name="Group 8">
            <a:extLst>
              <a:ext uri="{FF2B5EF4-FFF2-40B4-BE49-F238E27FC236}">
                <a16:creationId xmlns:a16="http://schemas.microsoft.com/office/drawing/2014/main" id="{CF785EA4-035D-D89A-2DB6-40DA6AD1E5FA}"/>
              </a:ext>
            </a:extLst>
          </xdr:cNvPr>
          <xdr:cNvGrpSpPr/>
        </xdr:nvGrpSpPr>
        <xdr:grpSpPr>
          <a:xfrm>
            <a:off x="5150098" y="3617117"/>
            <a:ext cx="2741522" cy="1584812"/>
            <a:chOff x="7254240" y="2144157"/>
            <a:chExt cx="2720340" cy="1759602"/>
          </a:xfrm>
        </xdr:grpSpPr>
        <xdr:sp macro="" textlink="">
          <xdr:nvSpPr>
            <xdr:cNvPr id="66" name="Rectangle: Rounded Corners 10">
              <a:extLst>
                <a:ext uri="{FF2B5EF4-FFF2-40B4-BE49-F238E27FC236}">
                  <a16:creationId xmlns:a16="http://schemas.microsoft.com/office/drawing/2014/main" id="{A4166EE1-200B-432E-B5C1-D82AFD16A559}"/>
                </a:ext>
              </a:extLst>
            </xdr:cNvPr>
            <xdr:cNvSpPr/>
          </xdr:nvSpPr>
          <xdr:spPr>
            <a:xfrm>
              <a:off x="7254240" y="2162755"/>
              <a:ext cx="2720340" cy="1741004"/>
            </a:xfrm>
            <a:prstGeom prst="roundRect">
              <a:avLst>
                <a:gd name="adj" fmla="val 7143"/>
              </a:avLst>
            </a:prstGeom>
            <a:gradFill>
              <a:gsLst>
                <a:gs pos="0">
                  <a:srgbClr val="F3F7FB"/>
                </a:gs>
                <a:gs pos="100000">
                  <a:srgbClr val="F3F7FB"/>
                </a:gs>
              </a:gsLst>
              <a:lin ang="5400000" scaled="1"/>
            </a:gradFill>
            <a:scene3d>
              <a:camera prst="orthographicFront"/>
              <a:lightRig rig="threePt" dir="t"/>
            </a:scene3d>
            <a:sp3d>
              <a:bevelT w="1905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67" name="Chart 18">
              <a:extLst>
                <a:ext uri="{FF2B5EF4-FFF2-40B4-BE49-F238E27FC236}">
                  <a16:creationId xmlns:a16="http://schemas.microsoft.com/office/drawing/2014/main" id="{27D8FD87-C749-41C4-AA32-881EA2BCE6A2}"/>
                </a:ext>
              </a:extLst>
            </xdr:cNvPr>
            <xdr:cNvGraphicFramePr/>
          </xdr:nvGraphicFramePr>
          <xdr:xfrm>
            <a:off x="7286786" y="2144157"/>
            <a:ext cx="2583051" cy="17343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68" name="TextBox 19">
            <a:extLst>
              <a:ext uri="{FF2B5EF4-FFF2-40B4-BE49-F238E27FC236}">
                <a16:creationId xmlns:a16="http://schemas.microsoft.com/office/drawing/2014/main" id="{8E8E856E-76A1-8BFB-67B5-8AD77D3D9685}"/>
              </a:ext>
            </a:extLst>
          </xdr:cNvPr>
          <xdr:cNvSpPr txBox="1"/>
        </xdr:nvSpPr>
        <xdr:spPr>
          <a:xfrm>
            <a:off x="1171733" y="705761"/>
            <a:ext cx="6899964" cy="4648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2500" b="1" u="none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PREVENTIVE MAINTENANCE DASHBOARD</a:t>
            </a:r>
          </a:p>
        </xdr:txBody>
      </xdr:sp>
      <xdr:grpSp>
        <xdr:nvGrpSpPr>
          <xdr:cNvPr id="69" name="Group 47">
            <a:extLst>
              <a:ext uri="{FF2B5EF4-FFF2-40B4-BE49-F238E27FC236}">
                <a16:creationId xmlns:a16="http://schemas.microsoft.com/office/drawing/2014/main" id="{306E21FA-638E-5DAA-45BB-1D78F62B0C86}"/>
              </a:ext>
            </a:extLst>
          </xdr:cNvPr>
          <xdr:cNvGrpSpPr/>
        </xdr:nvGrpSpPr>
        <xdr:grpSpPr>
          <a:xfrm>
            <a:off x="1209883" y="7124631"/>
            <a:ext cx="915904" cy="534826"/>
            <a:chOff x="8658181" y="1252659"/>
            <a:chExt cx="1374546" cy="852691"/>
          </a:xfrm>
        </xdr:grpSpPr>
        <xdr:grpSp>
          <xdr:nvGrpSpPr>
            <xdr:cNvPr id="70" name="Group 23">
              <a:extLst>
                <a:ext uri="{FF2B5EF4-FFF2-40B4-BE49-F238E27FC236}">
                  <a16:creationId xmlns:a16="http://schemas.microsoft.com/office/drawing/2014/main" id="{B7A4312E-C55C-84D4-AF97-F4569ED55F33}"/>
                </a:ext>
              </a:extLst>
            </xdr:cNvPr>
            <xdr:cNvGrpSpPr/>
          </xdr:nvGrpSpPr>
          <xdr:grpSpPr>
            <a:xfrm>
              <a:off x="8658181" y="1252659"/>
              <a:ext cx="1374546" cy="852691"/>
              <a:chOff x="8588934" y="1243890"/>
              <a:chExt cx="1364462" cy="844973"/>
            </a:xfrm>
          </xdr:grpSpPr>
          <xdr:sp macro="" textlink="'Pivot Tables'!K61">
            <xdr:nvSpPr>
              <xdr:cNvPr id="71" name="Rectangle: Rounded Corners 21">
                <a:extLst>
                  <a:ext uri="{FF2B5EF4-FFF2-40B4-BE49-F238E27FC236}">
                    <a16:creationId xmlns:a16="http://schemas.microsoft.com/office/drawing/2014/main" id="{FDBBDEBD-EFFC-48C8-91DC-2C20A8752BFE}"/>
                  </a:ext>
                </a:extLst>
              </xdr:cNvPr>
              <xdr:cNvSpPr/>
            </xdr:nvSpPr>
            <xdr:spPr>
              <a:xfrm>
                <a:off x="8588934" y="1258529"/>
                <a:ext cx="1338661" cy="830334"/>
              </a:xfrm>
              <a:prstGeom prst="roundRect">
                <a:avLst/>
              </a:prstGeom>
              <a:solidFill>
                <a:srgbClr val="029AA6"/>
              </a:solidFill>
              <a:scene3d>
                <a:camera prst="orthographicFront"/>
                <a:lightRig rig="threePt" dir="t"/>
              </a:scene3d>
              <a:sp3d>
                <a:bevelT w="38100" prst="convex"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r"/>
                <a:endParaRPr lang="en-IN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  <xdr:sp macro="" textlink="">
            <xdr:nvSpPr>
              <xdr:cNvPr id="72" name="TextBox 22">
                <a:extLst>
                  <a:ext uri="{FF2B5EF4-FFF2-40B4-BE49-F238E27FC236}">
                    <a16:creationId xmlns:a16="http://schemas.microsoft.com/office/drawing/2014/main" id="{864BE1E2-9E24-A8A5-5AA2-2CEA5939C136}"/>
                  </a:ext>
                </a:extLst>
              </xdr:cNvPr>
              <xdr:cNvSpPr txBox="1"/>
            </xdr:nvSpPr>
            <xdr:spPr>
              <a:xfrm>
                <a:off x="9027715" y="1243890"/>
                <a:ext cx="925681" cy="64637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IN" sz="2000" b="1">
                    <a:solidFill>
                      <a:schemeClr val="bg1"/>
                    </a:solidFill>
                  </a:rPr>
                  <a:t>5.8L</a:t>
                </a:r>
              </a:p>
            </xdr:txBody>
          </xdr:sp>
        </xdr:grpSp>
        <xdr:sp macro="" textlink="">
          <xdr:nvSpPr>
            <xdr:cNvPr id="73" name="TextBox 33">
              <a:extLst>
                <a:ext uri="{FF2B5EF4-FFF2-40B4-BE49-F238E27FC236}">
                  <a16:creationId xmlns:a16="http://schemas.microsoft.com/office/drawing/2014/main" id="{7B2D3436-4B01-46B2-8A35-6428B66EB491}"/>
                </a:ext>
              </a:extLst>
            </xdr:cNvPr>
            <xdr:cNvSpPr txBox="1"/>
          </xdr:nvSpPr>
          <xdr:spPr>
            <a:xfrm>
              <a:off x="8672006" y="1751052"/>
              <a:ext cx="1336200" cy="350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800" b="1">
                  <a:solidFill>
                    <a:schemeClr val="bg1"/>
                  </a:solidFill>
                </a:rPr>
                <a:t>Total Maint Cost</a:t>
              </a:r>
            </a:p>
          </xdr:txBody>
        </xdr:sp>
        <xdr:pic>
          <xdr:nvPicPr>
            <xdr:cNvPr id="74" name="Graphic 36" descr="Money with solid fill">
              <a:extLst>
                <a:ext uri="{FF2B5EF4-FFF2-40B4-BE49-F238E27FC236}">
                  <a16:creationId xmlns:a16="http://schemas.microsoft.com/office/drawing/2014/main" id="{9E20415B-3F1C-0845-8C74-425B9FDC60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8776941" y="1383803"/>
              <a:ext cx="381490" cy="388271"/>
            </a:xfrm>
            <a:prstGeom prst="rect">
              <a:avLst/>
            </a:prstGeom>
          </xdr:spPr>
        </xdr:pic>
      </xdr:grpSp>
      <xdr:grpSp>
        <xdr:nvGrpSpPr>
          <xdr:cNvPr id="76" name="Group 45">
            <a:extLst>
              <a:ext uri="{FF2B5EF4-FFF2-40B4-BE49-F238E27FC236}">
                <a16:creationId xmlns:a16="http://schemas.microsoft.com/office/drawing/2014/main" id="{FF34126A-9D5F-E830-79BE-A3117517349F}"/>
              </a:ext>
            </a:extLst>
          </xdr:cNvPr>
          <xdr:cNvGrpSpPr/>
        </xdr:nvGrpSpPr>
        <xdr:grpSpPr>
          <a:xfrm>
            <a:off x="4251007" y="2331133"/>
            <a:ext cx="1095670" cy="1203392"/>
            <a:chOff x="7130246" y="1284161"/>
            <a:chExt cx="942772" cy="1234368"/>
          </a:xfrm>
        </xdr:grpSpPr>
        <xdr:sp macro="" textlink="'Pivot Tables'!K61">
          <xdr:nvSpPr>
            <xdr:cNvPr id="77" name="Rectangle: Rounded Corners 6">
              <a:extLst>
                <a:ext uri="{FF2B5EF4-FFF2-40B4-BE49-F238E27FC236}">
                  <a16:creationId xmlns:a16="http://schemas.microsoft.com/office/drawing/2014/main" id="{7C96D323-AD3E-4EDC-AEEC-181294242D56}"/>
                </a:ext>
              </a:extLst>
            </xdr:cNvPr>
            <xdr:cNvSpPr/>
          </xdr:nvSpPr>
          <xdr:spPr>
            <a:xfrm>
              <a:off x="7181392" y="1284161"/>
              <a:ext cx="844504" cy="1234368"/>
            </a:xfrm>
            <a:prstGeom prst="roundRect">
              <a:avLst>
                <a:gd name="adj" fmla="val 7728"/>
              </a:avLst>
            </a:prstGeom>
            <a:solidFill>
              <a:schemeClr val="bg2">
                <a:lumMod val="25000"/>
              </a:schemeClr>
            </a:solidFill>
            <a:scene3d>
              <a:camera prst="orthographicFront"/>
              <a:lightRig rig="threePt" dir="t"/>
            </a:scene3d>
            <a:sp3d>
              <a:bevelT w="3810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5F5A0072-39D6-4E34-9527-CA7E0212FE05}" type="TxLink">
                <a:rPr lang="en-US" sz="25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5.15</a:t>
              </a:fld>
              <a:endParaRPr lang="en-IN" sz="25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78" name="TextBox 32">
              <a:extLst>
                <a:ext uri="{FF2B5EF4-FFF2-40B4-BE49-F238E27FC236}">
                  <a16:creationId xmlns:a16="http://schemas.microsoft.com/office/drawing/2014/main" id="{20C5B4D0-03FC-44C4-AE00-B2E4239D7B67}"/>
                </a:ext>
              </a:extLst>
            </xdr:cNvPr>
            <xdr:cNvSpPr txBox="1"/>
          </xdr:nvSpPr>
          <xdr:spPr>
            <a:xfrm>
              <a:off x="7130246" y="2089533"/>
              <a:ext cx="942772" cy="416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N" sz="1000" b="1">
                  <a:solidFill>
                    <a:schemeClr val="bg1"/>
                  </a:solidFill>
                </a:rPr>
                <a:t>Avg </a:t>
              </a:r>
            </a:p>
            <a:p>
              <a:pPr algn="ctr"/>
              <a:r>
                <a:rPr lang="en-IN" sz="1000" b="1">
                  <a:solidFill>
                    <a:schemeClr val="bg1"/>
                  </a:solidFill>
                </a:rPr>
                <a:t>Completion Time</a:t>
              </a:r>
            </a:p>
          </xdr:txBody>
        </xdr:sp>
        <xdr:pic>
          <xdr:nvPicPr>
            <xdr:cNvPr id="79" name="Graphic 38" descr="Stopwatch with solid fill">
              <a:extLst>
                <a:ext uri="{FF2B5EF4-FFF2-40B4-BE49-F238E27FC236}">
                  <a16:creationId xmlns:a16="http://schemas.microsoft.com/office/drawing/2014/main" id="{6E6F788A-88B1-23F7-D422-8585CACD32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7335341" y="1691992"/>
              <a:ext cx="500357" cy="508939"/>
            </a:xfrm>
            <a:prstGeom prst="rect">
              <a:avLst/>
            </a:prstGeom>
          </xdr:spPr>
        </xdr:pic>
      </xdr:grpSp>
      <xdr:grpSp>
        <xdr:nvGrpSpPr>
          <xdr:cNvPr id="80" name="Group 41">
            <a:extLst>
              <a:ext uri="{FF2B5EF4-FFF2-40B4-BE49-F238E27FC236}">
                <a16:creationId xmlns:a16="http://schemas.microsoft.com/office/drawing/2014/main" id="{C561515C-5F55-0BDA-9253-2C3EEDF2E5A0}"/>
              </a:ext>
            </a:extLst>
          </xdr:cNvPr>
          <xdr:cNvGrpSpPr/>
        </xdr:nvGrpSpPr>
        <xdr:grpSpPr>
          <a:xfrm>
            <a:off x="2183925" y="2334213"/>
            <a:ext cx="1072420" cy="1240673"/>
            <a:chOff x="2728807" y="878432"/>
            <a:chExt cx="994654" cy="1271203"/>
          </a:xfrm>
        </xdr:grpSpPr>
        <xdr:sp macro="" textlink="'Pivot Tables'!K55">
          <xdr:nvSpPr>
            <xdr:cNvPr id="81" name="Rectangle: Rounded Corners 4">
              <a:extLst>
                <a:ext uri="{FF2B5EF4-FFF2-40B4-BE49-F238E27FC236}">
                  <a16:creationId xmlns:a16="http://schemas.microsoft.com/office/drawing/2014/main" id="{133D885F-58FA-4639-85E4-0817DE333500}"/>
                </a:ext>
              </a:extLst>
            </xdr:cNvPr>
            <xdr:cNvSpPr/>
          </xdr:nvSpPr>
          <xdr:spPr>
            <a:xfrm>
              <a:off x="2774298" y="878432"/>
              <a:ext cx="909104" cy="1233062"/>
            </a:xfrm>
            <a:prstGeom prst="roundRect">
              <a:avLst>
                <a:gd name="adj" fmla="val 8209"/>
              </a:avLst>
            </a:prstGeom>
            <a:solidFill>
              <a:schemeClr val="bg2">
                <a:lumMod val="25000"/>
              </a:schemeClr>
            </a:solidFill>
            <a:scene3d>
              <a:camera prst="orthographicFront"/>
              <a:lightRig rig="threePt" dir="t"/>
            </a:scene3d>
            <a:sp3d>
              <a:bevelT w="3810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EF271F04-E109-4FD5-9AD8-C9EEDBA53481}" type="TxLink">
                <a:rPr lang="en-US" sz="23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94.1%</a:t>
              </a:fld>
              <a:endParaRPr lang="en-IN" sz="23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82" name="TextBox 30">
              <a:extLst>
                <a:ext uri="{FF2B5EF4-FFF2-40B4-BE49-F238E27FC236}">
                  <a16:creationId xmlns:a16="http://schemas.microsoft.com/office/drawing/2014/main" id="{32B3AA2D-31C5-49E8-BB27-317CAFDDFA37}"/>
                </a:ext>
              </a:extLst>
            </xdr:cNvPr>
            <xdr:cNvSpPr txBox="1"/>
          </xdr:nvSpPr>
          <xdr:spPr>
            <a:xfrm>
              <a:off x="2728807" y="1584153"/>
              <a:ext cx="994654" cy="5654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N" sz="1000" b="1">
                  <a:solidFill>
                    <a:schemeClr val="bg1"/>
                  </a:solidFill>
                </a:rPr>
                <a:t>Avg </a:t>
              </a:r>
            </a:p>
            <a:p>
              <a:pPr algn="ctr"/>
              <a:r>
                <a:rPr lang="en-IN" sz="1000" b="1">
                  <a:solidFill>
                    <a:schemeClr val="bg1"/>
                  </a:solidFill>
                </a:rPr>
                <a:t>Compliance Rate</a:t>
              </a:r>
            </a:p>
          </xdr:txBody>
        </xdr:sp>
        <xdr:pic>
          <xdr:nvPicPr>
            <xdr:cNvPr id="83" name="Graphic 40" descr="Checkmark with solid fill">
              <a:extLst>
                <a:ext uri="{FF2B5EF4-FFF2-40B4-BE49-F238E27FC236}">
                  <a16:creationId xmlns:a16="http://schemas.microsoft.com/office/drawing/2014/main" id="{2E12DB6C-5EEA-E2E6-F6BA-04584E5F4A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3016879" y="1261991"/>
              <a:ext cx="426419" cy="438444"/>
            </a:xfrm>
            <a:prstGeom prst="rect">
              <a:avLst/>
            </a:prstGeom>
          </xdr:spPr>
        </xdr:pic>
      </xdr:grpSp>
      <xdr:grpSp>
        <xdr:nvGrpSpPr>
          <xdr:cNvPr id="84" name="Group 39">
            <a:extLst>
              <a:ext uri="{FF2B5EF4-FFF2-40B4-BE49-F238E27FC236}">
                <a16:creationId xmlns:a16="http://schemas.microsoft.com/office/drawing/2014/main" id="{B6DBFE68-804D-255D-1C9A-8C1713799327}"/>
              </a:ext>
            </a:extLst>
          </xdr:cNvPr>
          <xdr:cNvGrpSpPr/>
        </xdr:nvGrpSpPr>
        <xdr:grpSpPr>
          <a:xfrm>
            <a:off x="1172006" y="2335039"/>
            <a:ext cx="1065306" cy="1203392"/>
            <a:chOff x="2850600" y="855767"/>
            <a:chExt cx="987633" cy="1233979"/>
          </a:xfrm>
        </xdr:grpSpPr>
        <xdr:sp macro="" textlink="'Pivot Tables'!K51">
          <xdr:nvSpPr>
            <xdr:cNvPr id="85" name="Rectangle: Rounded Corners 3">
              <a:extLst>
                <a:ext uri="{FF2B5EF4-FFF2-40B4-BE49-F238E27FC236}">
                  <a16:creationId xmlns:a16="http://schemas.microsoft.com/office/drawing/2014/main" id="{C0D49B26-98D8-4071-AB17-AB644A106092}"/>
                </a:ext>
              </a:extLst>
            </xdr:cNvPr>
            <xdr:cNvSpPr/>
          </xdr:nvSpPr>
          <xdr:spPr>
            <a:xfrm>
              <a:off x="2872369" y="855767"/>
              <a:ext cx="908603" cy="1233979"/>
            </a:xfrm>
            <a:prstGeom prst="roundRect">
              <a:avLst>
                <a:gd name="adj" fmla="val 9289"/>
              </a:avLst>
            </a:prstGeom>
            <a:solidFill>
              <a:srgbClr val="DDEEFF"/>
            </a:solidFill>
            <a:scene3d>
              <a:camera prst="orthographicFront"/>
              <a:lightRig rig="threePt" dir="t"/>
            </a:scene3d>
            <a:sp3d>
              <a:bevelT w="3810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fld id="{104080CF-E424-443D-AACF-CB9E16102040}" type="TxLink">
                <a:rPr lang="en-US" sz="2500" b="1" i="0" u="none" strike="noStrike">
                  <a:solidFill>
                    <a:srgbClr val="0092F6"/>
                  </a:solidFill>
                  <a:latin typeface="Calibri"/>
                  <a:ea typeface="Calibri"/>
                  <a:cs typeface="Calibri"/>
                </a:rPr>
                <a:pPr marL="0" indent="0" algn="ctr"/>
                <a:t>1964</a:t>
              </a:fld>
              <a:endParaRPr lang="en-IN" sz="2500" b="1">
                <a:solidFill>
                  <a:srgbClr val="0092F6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6" name="TextBox 29">
              <a:extLst>
                <a:ext uri="{FF2B5EF4-FFF2-40B4-BE49-F238E27FC236}">
                  <a16:creationId xmlns:a16="http://schemas.microsoft.com/office/drawing/2014/main" id="{FA1E67DE-92E5-6BCB-0232-48D850A13BF9}"/>
                </a:ext>
              </a:extLst>
            </xdr:cNvPr>
            <xdr:cNvSpPr txBox="1"/>
          </xdr:nvSpPr>
          <xdr:spPr>
            <a:xfrm>
              <a:off x="2850600" y="1782606"/>
              <a:ext cx="987633" cy="2973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200" b="1">
                  <a:solidFill>
                    <a:srgbClr val="0092F6"/>
                  </a:solidFill>
                </a:rPr>
                <a:t>Total</a:t>
              </a:r>
              <a:r>
                <a:rPr lang="en-IN" sz="1200" b="1" baseline="0">
                  <a:solidFill>
                    <a:srgbClr val="0092F6"/>
                  </a:solidFill>
                </a:rPr>
                <a:t> PM Jobs</a:t>
              </a:r>
              <a:endParaRPr lang="en-IN" sz="1200" b="1">
                <a:solidFill>
                  <a:srgbClr val="0092F6"/>
                </a:solidFill>
              </a:endParaRPr>
            </a:p>
          </xdr:txBody>
        </xdr:sp>
        <xdr:pic>
          <xdr:nvPicPr>
            <xdr:cNvPr id="95" name="Graphic 42" descr="Tools with solid fill">
              <a:extLst>
                <a:ext uri="{FF2B5EF4-FFF2-40B4-BE49-F238E27FC236}">
                  <a16:creationId xmlns:a16="http://schemas.microsoft.com/office/drawing/2014/main" id="{82D087AA-74B0-4861-01AF-199CEC515B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3089096" y="1331584"/>
              <a:ext cx="474408" cy="481334"/>
            </a:xfrm>
            <a:prstGeom prst="rect">
              <a:avLst/>
            </a:prstGeom>
          </xdr:spPr>
        </xdr:pic>
      </xdr:grpSp>
      <xdr:grpSp>
        <xdr:nvGrpSpPr>
          <xdr:cNvPr id="96" name="Group 43">
            <a:extLst>
              <a:ext uri="{FF2B5EF4-FFF2-40B4-BE49-F238E27FC236}">
                <a16:creationId xmlns:a16="http://schemas.microsoft.com/office/drawing/2014/main" id="{4C7A0453-DF80-0849-8933-ABC1E088F6CA}"/>
              </a:ext>
            </a:extLst>
          </xdr:cNvPr>
          <xdr:cNvGrpSpPr/>
        </xdr:nvGrpSpPr>
        <xdr:grpSpPr>
          <a:xfrm>
            <a:off x="3275619" y="2327870"/>
            <a:ext cx="979823" cy="1220401"/>
            <a:chOff x="5654127" y="916919"/>
            <a:chExt cx="846029" cy="1248856"/>
          </a:xfrm>
        </xdr:grpSpPr>
        <xdr:sp macro="" textlink="'Pivot Tables'!K58">
          <xdr:nvSpPr>
            <xdr:cNvPr id="97" name="Rectangle: Rounded Corners 5">
              <a:extLst>
                <a:ext uri="{FF2B5EF4-FFF2-40B4-BE49-F238E27FC236}">
                  <a16:creationId xmlns:a16="http://schemas.microsoft.com/office/drawing/2014/main" id="{0E290035-B4BF-4B82-821E-A3F985FBDF14}"/>
                </a:ext>
              </a:extLst>
            </xdr:cNvPr>
            <xdr:cNvSpPr/>
          </xdr:nvSpPr>
          <xdr:spPr>
            <a:xfrm>
              <a:off x="5654127" y="916919"/>
              <a:ext cx="846029" cy="1231605"/>
            </a:xfrm>
            <a:prstGeom prst="roundRect">
              <a:avLst>
                <a:gd name="adj" fmla="val 5377"/>
              </a:avLst>
            </a:prstGeom>
            <a:solidFill>
              <a:srgbClr val="DDEEFF"/>
            </a:solidFill>
            <a:scene3d>
              <a:camera prst="orthographicFront"/>
              <a:lightRig rig="threePt" dir="t"/>
            </a:scene3d>
            <a:sp3d>
              <a:bevelT w="3810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fld id="{78556169-8187-4BAD-A281-F0BDAA2DD2D7}" type="TxLink">
                <a:rPr lang="en-US" sz="2500" b="1" i="0" u="none" strike="noStrike">
                  <a:solidFill>
                    <a:srgbClr val="0092F6"/>
                  </a:solidFill>
                  <a:latin typeface="Calibri"/>
                  <a:ea typeface="Calibri"/>
                  <a:cs typeface="Calibri"/>
                </a:rPr>
                <a:pPr marL="0" indent="0" algn="ctr"/>
                <a:t>127</a:t>
              </a:fld>
              <a:endParaRPr lang="en-IN" sz="2500" b="1" i="0" u="none" strike="noStrike">
                <a:solidFill>
                  <a:srgbClr val="0092F6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99" name="TextBox 31">
              <a:extLst>
                <a:ext uri="{FF2B5EF4-FFF2-40B4-BE49-F238E27FC236}">
                  <a16:creationId xmlns:a16="http://schemas.microsoft.com/office/drawing/2014/main" id="{0086A815-E507-4650-A3FE-45B8AB36D24B}"/>
                </a:ext>
              </a:extLst>
            </xdr:cNvPr>
            <xdr:cNvSpPr txBox="1"/>
          </xdr:nvSpPr>
          <xdr:spPr>
            <a:xfrm>
              <a:off x="5731989" y="1676306"/>
              <a:ext cx="661688" cy="489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N" sz="1200" b="1">
                  <a:solidFill>
                    <a:srgbClr val="0092F6"/>
                  </a:solidFill>
                </a:rPr>
                <a:t>Overdue </a:t>
              </a:r>
            </a:p>
            <a:p>
              <a:pPr algn="ctr"/>
              <a:r>
                <a:rPr lang="en-IN" sz="1200" b="1">
                  <a:solidFill>
                    <a:srgbClr val="0092F6"/>
                  </a:solidFill>
                </a:rPr>
                <a:t>PM Task</a:t>
              </a:r>
            </a:p>
          </xdr:txBody>
        </xdr:sp>
        <xdr:pic>
          <xdr:nvPicPr>
            <xdr:cNvPr id="100" name="Graphic 44" descr="Warning with solid fill">
              <a:extLst>
                <a:ext uri="{FF2B5EF4-FFF2-40B4-BE49-F238E27FC236}">
                  <a16:creationId xmlns:a16="http://schemas.microsoft.com/office/drawing/2014/main" id="{C8ABF654-9A61-E3B1-8026-B536DA856A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5847002" y="1323024"/>
              <a:ext cx="418442" cy="423194"/>
            </a:xfrm>
            <a:prstGeom prst="rect">
              <a:avLst/>
            </a:prstGeom>
            <a:scene3d>
              <a:camera prst="orthographicFront"/>
              <a:lightRig rig="threePt" dir="t"/>
            </a:scene3d>
            <a:sp3d>
              <a:bevelT w="38100" prst="convex"/>
            </a:sp3d>
          </xdr:spPr>
        </xdr:pic>
      </xdr:grpSp>
      <xdr:grpSp>
        <xdr:nvGrpSpPr>
          <xdr:cNvPr id="101" name="Group 48">
            <a:extLst>
              <a:ext uri="{FF2B5EF4-FFF2-40B4-BE49-F238E27FC236}">
                <a16:creationId xmlns:a16="http://schemas.microsoft.com/office/drawing/2014/main" id="{0C8D984F-55C3-7859-8A08-CCA0FB9247F2}"/>
              </a:ext>
            </a:extLst>
          </xdr:cNvPr>
          <xdr:cNvGrpSpPr/>
        </xdr:nvGrpSpPr>
        <xdr:grpSpPr>
          <a:xfrm>
            <a:off x="3237671" y="385841"/>
            <a:ext cx="2863191" cy="305582"/>
            <a:chOff x="4678390" y="856677"/>
            <a:chExt cx="2899909" cy="291234"/>
          </a:xfrm>
        </xdr:grpSpPr>
        <xdr:sp macro="" textlink="">
          <xdr:nvSpPr>
            <xdr:cNvPr id="103" name="Rectangle: Rounded Corners 20">
              <a:extLst>
                <a:ext uri="{FF2B5EF4-FFF2-40B4-BE49-F238E27FC236}">
                  <a16:creationId xmlns:a16="http://schemas.microsoft.com/office/drawing/2014/main" id="{44BCC446-FDA7-6F6D-A396-1F137530D63B}"/>
                </a:ext>
              </a:extLst>
            </xdr:cNvPr>
            <xdr:cNvSpPr/>
          </xdr:nvSpPr>
          <xdr:spPr>
            <a:xfrm>
              <a:off x="4678390" y="896228"/>
              <a:ext cx="2895381" cy="229735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scene3d>
              <a:camera prst="orthographicFront"/>
              <a:lightRig rig="threePt" dir="t"/>
            </a:scene3d>
            <a:sp3d>
              <a:bevelT w="38100" prst="convex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IN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05" name="TextBox 34">
              <a:extLst>
                <a:ext uri="{FF2B5EF4-FFF2-40B4-BE49-F238E27FC236}">
                  <a16:creationId xmlns:a16="http://schemas.microsoft.com/office/drawing/2014/main" id="{05060A01-D7E4-4709-BBD8-CAF0E5D2E56B}"/>
                </a:ext>
              </a:extLst>
            </xdr:cNvPr>
            <xdr:cNvSpPr txBox="1"/>
          </xdr:nvSpPr>
          <xdr:spPr>
            <a:xfrm>
              <a:off x="4827161" y="856677"/>
              <a:ext cx="2751138" cy="291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100" b="1"/>
                <a:t>Date Range </a:t>
              </a:r>
              <a:r>
                <a:rPr lang="en-IN" sz="1100" b="1">
                  <a:latin typeface="Arial Black" panose="020B0A04020102020204" pitchFamily="34" charset="0"/>
                </a:rPr>
                <a:t>: </a:t>
              </a:r>
              <a:r>
                <a:rPr lang="en-IN" sz="1000" b="1">
                  <a:latin typeface="Arial Black" panose="020B0A04020102020204" pitchFamily="34" charset="0"/>
                </a:rPr>
                <a:t>01-01-2026</a:t>
              </a:r>
              <a:r>
                <a:rPr lang="en-IN" sz="1000" b="1" baseline="0">
                  <a:latin typeface="Arial Black" panose="020B0A04020102020204" pitchFamily="34" charset="0"/>
                </a:rPr>
                <a:t> to 28-02-2026</a:t>
              </a:r>
              <a:endParaRPr lang="en-IN" sz="1000" b="1">
                <a:latin typeface="Arial Black" panose="020B0A04020102020204" pitchFamily="34" charset="0"/>
              </a:endParaRPr>
            </a:p>
          </xdr:txBody>
        </xdr:sp>
        <xdr:pic>
          <xdr:nvPicPr>
            <xdr:cNvPr id="109" name="Graphic 46" descr="Daily calendar with solid fill">
              <a:extLst>
                <a:ext uri="{FF2B5EF4-FFF2-40B4-BE49-F238E27FC236}">
                  <a16:creationId xmlns:a16="http://schemas.microsoft.com/office/drawing/2014/main" id="{8C5ED6BD-0CA7-A61D-4280-C52D79B461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>
              <a:extLst>
                <a:ext uri="{96DAC541-7B7A-43D3-8B79-37D633B846F1}">
                  <asvg:svgBlip xmlns:asvg="http://schemas.microsoft.com/office/drawing/2016/SVG/main" r:embed="rId17"/>
                </a:ext>
              </a:extLst>
            </a:blip>
            <a:stretch>
              <a:fillRect/>
            </a:stretch>
          </xdr:blipFill>
          <xdr:spPr>
            <a:xfrm>
              <a:off x="4721883" y="908110"/>
              <a:ext cx="190924" cy="184582"/>
            </a:xfrm>
            <a:prstGeom prst="rect">
              <a:avLst/>
            </a:prstGeom>
          </xdr:spPr>
        </xdr:pic>
      </xdr:grpSp>
      <xdr:sp macro="" textlink="'Pivot Tables'!B31">
        <xdr:nvSpPr>
          <xdr:cNvPr id="110" name="Rectangle: Rounded Corners 53">
            <a:extLst>
              <a:ext uri="{FF2B5EF4-FFF2-40B4-BE49-F238E27FC236}">
                <a16:creationId xmlns:a16="http://schemas.microsoft.com/office/drawing/2014/main" id="{D4BCF947-E7CB-5A8A-FDFB-6E69A7901949}"/>
              </a:ext>
            </a:extLst>
          </xdr:cNvPr>
          <xdr:cNvSpPr/>
        </xdr:nvSpPr>
        <xdr:spPr>
          <a:xfrm>
            <a:off x="2182042" y="7137828"/>
            <a:ext cx="904636" cy="525557"/>
          </a:xfrm>
          <a:prstGeom prst="roundRect">
            <a:avLst/>
          </a:prstGeom>
          <a:solidFill>
            <a:schemeClr val="bg2">
              <a:lumMod val="25000"/>
            </a:schemeClr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7CC692B6-BCE9-4F48-8EBD-308FBF6CDF3F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1964</a:t>
            </a:fld>
            <a:endParaRPr lang="en-IN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s'!C31">
        <xdr:nvSpPr>
          <xdr:cNvPr id="111" name="Rectangle: Rounded Corners 55">
            <a:extLst>
              <a:ext uri="{FF2B5EF4-FFF2-40B4-BE49-F238E27FC236}">
                <a16:creationId xmlns:a16="http://schemas.microsoft.com/office/drawing/2014/main" id="{5AEE67C5-F227-4B03-93BE-43E11EA2BE4A}"/>
              </a:ext>
            </a:extLst>
          </xdr:cNvPr>
          <xdr:cNvSpPr/>
        </xdr:nvSpPr>
        <xdr:spPr>
          <a:xfrm>
            <a:off x="3151430" y="7137828"/>
            <a:ext cx="903405" cy="525557"/>
          </a:xfrm>
          <a:prstGeom prst="roundRect">
            <a:avLst/>
          </a:prstGeom>
          <a:solidFill>
            <a:srgbClr val="029AA6"/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91838442-6D8C-4D27-A6ED-1F89F5CD32E0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1867</a:t>
            </a:fld>
            <a:endParaRPr lang="en-IN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s'!D31">
        <xdr:nvSpPr>
          <xdr:cNvPr id="112" name="Rectangle: Rounded Corners 56">
            <a:extLst>
              <a:ext uri="{FF2B5EF4-FFF2-40B4-BE49-F238E27FC236}">
                <a16:creationId xmlns:a16="http://schemas.microsoft.com/office/drawing/2014/main" id="{3623298E-8B2D-4FAD-818A-D8F43A1A569F}"/>
              </a:ext>
            </a:extLst>
          </xdr:cNvPr>
          <xdr:cNvSpPr/>
        </xdr:nvSpPr>
        <xdr:spPr>
          <a:xfrm>
            <a:off x="4119587" y="7137828"/>
            <a:ext cx="896616" cy="525557"/>
          </a:xfrm>
          <a:prstGeom prst="roundRect">
            <a:avLst/>
          </a:prstGeom>
          <a:solidFill>
            <a:schemeClr val="bg2">
              <a:lumMod val="25000"/>
            </a:schemeClr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6F53B13B-A879-4641-94EA-D60B843104F4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93%</a:t>
            </a:fld>
            <a:endParaRPr lang="en-IN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s'!E31">
        <xdr:nvSpPr>
          <xdr:cNvPr id="113" name="Rectangle: Rounded Corners 57">
            <a:extLst>
              <a:ext uri="{FF2B5EF4-FFF2-40B4-BE49-F238E27FC236}">
                <a16:creationId xmlns:a16="http://schemas.microsoft.com/office/drawing/2014/main" id="{41850880-1EE4-4C60-8423-FF213891C094}"/>
              </a:ext>
            </a:extLst>
          </xdr:cNvPr>
          <xdr:cNvSpPr/>
        </xdr:nvSpPr>
        <xdr:spPr>
          <a:xfrm>
            <a:off x="5080955" y="7137828"/>
            <a:ext cx="903406" cy="525557"/>
          </a:xfrm>
          <a:prstGeom prst="roundRect">
            <a:avLst/>
          </a:prstGeom>
          <a:solidFill>
            <a:srgbClr val="029AA6"/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AE744587-CA6F-43AA-A900-37CAE9E743A5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127</a:t>
            </a:fld>
            <a:endParaRPr lang="en-IN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s'!F31">
        <xdr:nvSpPr>
          <xdr:cNvPr id="114" name="Rectangle: Rounded Corners 58">
            <a:extLst>
              <a:ext uri="{FF2B5EF4-FFF2-40B4-BE49-F238E27FC236}">
                <a16:creationId xmlns:a16="http://schemas.microsoft.com/office/drawing/2014/main" id="{95E00B64-23BB-401F-AE39-B8022F9D5802}"/>
              </a:ext>
            </a:extLst>
          </xdr:cNvPr>
          <xdr:cNvSpPr/>
        </xdr:nvSpPr>
        <xdr:spPr>
          <a:xfrm>
            <a:off x="6049113" y="7137828"/>
            <a:ext cx="898621" cy="525557"/>
          </a:xfrm>
          <a:prstGeom prst="roundRect">
            <a:avLst/>
          </a:prstGeom>
          <a:solidFill>
            <a:schemeClr val="bg2">
              <a:lumMod val="25000"/>
            </a:schemeClr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67697311-33FF-4C65-B443-BD1A3B937271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 ₹ 5,67,700 </a:t>
            </a:fld>
            <a:endParaRPr lang="en-IN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s'!G31">
        <xdr:nvSpPr>
          <xdr:cNvPr id="115" name="Rectangle: Rounded Corners 59">
            <a:extLst>
              <a:ext uri="{FF2B5EF4-FFF2-40B4-BE49-F238E27FC236}">
                <a16:creationId xmlns:a16="http://schemas.microsoft.com/office/drawing/2014/main" id="{32F1EAF9-E3B7-4138-99F7-A68F5FEACFEE}"/>
              </a:ext>
            </a:extLst>
          </xdr:cNvPr>
          <xdr:cNvSpPr/>
        </xdr:nvSpPr>
        <xdr:spPr>
          <a:xfrm>
            <a:off x="7012487" y="7137828"/>
            <a:ext cx="896615" cy="525557"/>
          </a:xfrm>
          <a:prstGeom prst="roundRect">
            <a:avLst/>
          </a:prstGeom>
          <a:solidFill>
            <a:srgbClr val="029AA6"/>
          </a:solidFill>
          <a:scene3d>
            <a:camera prst="orthographicFront"/>
            <a:lightRig rig="threePt" dir="t"/>
          </a:scene3d>
          <a:sp3d>
            <a:bevelT w="38100" prst="convex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83190F5E-46F9-488D-B341-8F32347CAD21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 ₹ 5,76,100 </a:t>
            </a:fld>
            <a:endParaRPr lang="en-IN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pic>
        <xdr:nvPicPr>
          <xdr:cNvPr id="116" name="Picture 74">
            <a:extLst>
              <a:ext uri="{FF2B5EF4-FFF2-40B4-BE49-F238E27FC236}">
                <a16:creationId xmlns:a16="http://schemas.microsoft.com/office/drawing/2014/main" id="{F76BDB2D-57FB-403F-3A14-DC3AB4BE51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8042" y="365858"/>
            <a:ext cx="1770286" cy="373821"/>
          </a:xfrm>
          <a:prstGeom prst="rect">
            <a:avLst/>
          </a:prstGeom>
        </xdr:spPr>
      </xdr:pic>
      <xdr:pic>
        <xdr:nvPicPr>
          <xdr:cNvPr id="117" name="Picture 86">
            <a:extLst>
              <a:ext uri="{FF2B5EF4-FFF2-40B4-BE49-F238E27FC236}">
                <a16:creationId xmlns:a16="http://schemas.microsoft.com/office/drawing/2014/main" id="{4F024B8C-0815-6EEC-5283-7CEB3ACCB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5417" y="1369786"/>
            <a:ext cx="2562924" cy="2220296"/>
          </a:xfrm>
          <a:prstGeom prst="rect">
            <a:avLst/>
          </a:prstGeom>
        </xdr:spPr>
      </xdr:pic>
      <xdr:sp macro="" textlink="">
        <xdr:nvSpPr>
          <xdr:cNvPr id="118" name="TextBox 87">
            <a:extLst>
              <a:ext uri="{FF2B5EF4-FFF2-40B4-BE49-F238E27FC236}">
                <a16:creationId xmlns:a16="http://schemas.microsoft.com/office/drawing/2014/main" id="{EA74A9C4-E7D6-4BF8-BF21-3C8CCE57D40F}"/>
              </a:ext>
            </a:extLst>
          </xdr:cNvPr>
          <xdr:cNvSpPr txBox="1"/>
        </xdr:nvSpPr>
        <xdr:spPr>
          <a:xfrm>
            <a:off x="1215623" y="1131034"/>
            <a:ext cx="5419450" cy="15762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3500" b="1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Every </a:t>
            </a:r>
            <a:r>
              <a:rPr lang="en-IN" sz="3500" b="1">
                <a:solidFill>
                  <a:srgbClr val="029AA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Asset</a:t>
            </a:r>
            <a:r>
              <a:rPr lang="en-IN" sz="3500" b="1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. Every </a:t>
            </a:r>
            <a:r>
              <a:rPr lang="en-IN" sz="3500" b="1">
                <a:solidFill>
                  <a:srgbClr val="029AA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Hour</a:t>
            </a:r>
            <a:r>
              <a:rPr lang="en-IN" sz="3500" b="1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.</a:t>
            </a:r>
          </a:p>
          <a:p>
            <a:pPr algn="l"/>
            <a:r>
              <a:rPr lang="en-IN" sz="3500" b="1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Maximum </a:t>
            </a:r>
            <a:r>
              <a:rPr lang="en-IN" sz="3500" b="1">
                <a:solidFill>
                  <a:srgbClr val="029AA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Reliability.</a:t>
            </a:r>
          </a:p>
        </xdr:txBody>
      </xdr:sp>
      <xdr:sp macro="" textlink="">
        <xdr:nvSpPr>
          <xdr:cNvPr id="119" name="TextBox 88">
            <a:extLst>
              <a:ext uri="{FF2B5EF4-FFF2-40B4-BE49-F238E27FC236}">
                <a16:creationId xmlns:a16="http://schemas.microsoft.com/office/drawing/2014/main" id="{DA8482CC-F7AF-4834-9B6A-9AE7FCAE8FE5}"/>
              </a:ext>
            </a:extLst>
          </xdr:cNvPr>
          <xdr:cNvSpPr txBox="1"/>
        </xdr:nvSpPr>
        <xdr:spPr>
          <a:xfrm>
            <a:off x="2288883" y="7453596"/>
            <a:ext cx="1050512" cy="22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Planned Jobs</a:t>
            </a:r>
          </a:p>
        </xdr:txBody>
      </xdr:sp>
      <xdr:sp macro="" textlink="">
        <xdr:nvSpPr>
          <xdr:cNvPr id="120" name="TextBox 89">
            <a:extLst>
              <a:ext uri="{FF2B5EF4-FFF2-40B4-BE49-F238E27FC236}">
                <a16:creationId xmlns:a16="http://schemas.microsoft.com/office/drawing/2014/main" id="{6851FADB-5B66-4AB0-83E6-AEC8D1406C8E}"/>
              </a:ext>
            </a:extLst>
          </xdr:cNvPr>
          <xdr:cNvSpPr txBox="1"/>
        </xdr:nvSpPr>
        <xdr:spPr>
          <a:xfrm>
            <a:off x="3176965" y="7474411"/>
            <a:ext cx="1055298" cy="2211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Completed Jobs</a:t>
            </a:r>
          </a:p>
        </xdr:txBody>
      </xdr:sp>
      <xdr:sp macro="" textlink="">
        <xdr:nvSpPr>
          <xdr:cNvPr id="121" name="TextBox 90">
            <a:extLst>
              <a:ext uri="{FF2B5EF4-FFF2-40B4-BE49-F238E27FC236}">
                <a16:creationId xmlns:a16="http://schemas.microsoft.com/office/drawing/2014/main" id="{A4D6D66A-0036-4723-AB58-336501CEF174}"/>
              </a:ext>
            </a:extLst>
          </xdr:cNvPr>
          <xdr:cNvSpPr txBox="1"/>
        </xdr:nvSpPr>
        <xdr:spPr>
          <a:xfrm>
            <a:off x="4078208" y="7467711"/>
            <a:ext cx="1050511" cy="2211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PM Scheduled Adh</a:t>
            </a:r>
          </a:p>
        </xdr:txBody>
      </xdr:sp>
      <xdr:sp macro="" textlink="">
        <xdr:nvSpPr>
          <xdr:cNvPr id="122" name="TextBox 91">
            <a:extLst>
              <a:ext uri="{FF2B5EF4-FFF2-40B4-BE49-F238E27FC236}">
                <a16:creationId xmlns:a16="http://schemas.microsoft.com/office/drawing/2014/main" id="{5BBBF1B9-3D4B-41A8-86E7-F68A508FF43A}"/>
              </a:ext>
            </a:extLst>
          </xdr:cNvPr>
          <xdr:cNvSpPr txBox="1"/>
        </xdr:nvSpPr>
        <xdr:spPr>
          <a:xfrm>
            <a:off x="5133763" y="7458620"/>
            <a:ext cx="1050513" cy="22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Overdue Tasks</a:t>
            </a:r>
          </a:p>
        </xdr:txBody>
      </xdr:sp>
      <xdr:sp macro="" textlink="">
        <xdr:nvSpPr>
          <xdr:cNvPr id="123" name="TextBox 92">
            <a:extLst>
              <a:ext uri="{FF2B5EF4-FFF2-40B4-BE49-F238E27FC236}">
                <a16:creationId xmlns:a16="http://schemas.microsoft.com/office/drawing/2014/main" id="{D4A233E8-29EB-49DF-92A9-EFB1ACCCE967}"/>
              </a:ext>
            </a:extLst>
          </xdr:cNvPr>
          <xdr:cNvSpPr txBox="1"/>
        </xdr:nvSpPr>
        <xdr:spPr>
          <a:xfrm>
            <a:off x="6080462" y="7460295"/>
            <a:ext cx="1055297" cy="22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Planned M Cost</a:t>
            </a:r>
          </a:p>
        </xdr:txBody>
      </xdr:sp>
      <xdr:sp macro="" textlink="">
        <xdr:nvSpPr>
          <xdr:cNvPr id="124" name="TextBox 93">
            <a:extLst>
              <a:ext uri="{FF2B5EF4-FFF2-40B4-BE49-F238E27FC236}">
                <a16:creationId xmlns:a16="http://schemas.microsoft.com/office/drawing/2014/main" id="{645F0448-D324-4371-92C7-9FF23CE7B071}"/>
              </a:ext>
            </a:extLst>
          </xdr:cNvPr>
          <xdr:cNvSpPr txBox="1"/>
        </xdr:nvSpPr>
        <xdr:spPr>
          <a:xfrm>
            <a:off x="6990077" y="7445223"/>
            <a:ext cx="1050512" cy="2235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800" b="1">
                <a:solidFill>
                  <a:schemeClr val="bg1"/>
                </a:solidFill>
              </a:rPr>
              <a:t>Scheduled M Cost</a:t>
            </a:r>
          </a:p>
        </xdr:txBody>
      </xdr:sp>
      <xdr:pic>
        <xdr:nvPicPr>
          <xdr:cNvPr id="125" name="Graphic 97" descr="Checklist with solid fill">
            <a:extLst>
              <a:ext uri="{FF2B5EF4-FFF2-40B4-BE49-F238E27FC236}">
                <a16:creationId xmlns:a16="http://schemas.microsoft.com/office/drawing/2014/main" id="{38FD8A00-0931-A9A6-9E35-A8BB38CD5B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3167047" y="7198115"/>
            <a:ext cx="313322" cy="313999"/>
          </a:xfrm>
          <a:prstGeom prst="rect">
            <a:avLst/>
          </a:prstGeom>
        </xdr:spPr>
      </xdr:pic>
      <xdr:pic>
        <xdr:nvPicPr>
          <xdr:cNvPr id="126" name="Graphic 101" descr="List with solid fill">
            <a:extLst>
              <a:ext uri="{FF2B5EF4-FFF2-40B4-BE49-F238E27FC236}">
                <a16:creationId xmlns:a16="http://schemas.microsoft.com/office/drawing/2014/main" id="{19814C99-7190-3582-1803-6CB37D630D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2142942" y="7176020"/>
            <a:ext cx="344105" cy="351971"/>
          </a:xfrm>
          <a:prstGeom prst="rect">
            <a:avLst/>
          </a:prstGeom>
        </xdr:spPr>
      </xdr:pic>
      <xdr:pic>
        <xdr:nvPicPr>
          <xdr:cNvPr id="127" name="Graphic 103" descr="Upward trend with solid fill">
            <a:extLst>
              <a:ext uri="{FF2B5EF4-FFF2-40B4-BE49-F238E27FC236}">
                <a16:creationId xmlns:a16="http://schemas.microsoft.com/office/drawing/2014/main" id="{0C3FA33E-159C-DECB-DED5-A69E155032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7057548" y="7186487"/>
            <a:ext cx="331455" cy="339501"/>
          </a:xfrm>
          <a:prstGeom prst="rect">
            <a:avLst/>
          </a:prstGeom>
        </xdr:spPr>
      </xdr:pic>
      <xdr:pic>
        <xdr:nvPicPr>
          <xdr:cNvPr id="128" name="Graphic 105" descr="Warning with solid fill">
            <a:extLst>
              <a:ext uri="{FF2B5EF4-FFF2-40B4-BE49-F238E27FC236}">
                <a16:creationId xmlns:a16="http://schemas.microsoft.com/office/drawing/2014/main" id="{368FBCEE-45F7-05D6-E5BC-3A78CCDB5F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7"/>
              </a:ext>
            </a:extLst>
          </a:blip>
          <a:stretch>
            <a:fillRect/>
          </a:stretch>
        </xdr:blipFill>
        <xdr:spPr>
          <a:xfrm>
            <a:off x="4126445" y="7159287"/>
            <a:ext cx="303793" cy="302939"/>
          </a:xfrm>
          <a:prstGeom prst="rect">
            <a:avLst/>
          </a:prstGeom>
        </xdr:spPr>
      </xdr:pic>
      <xdr:pic>
        <xdr:nvPicPr>
          <xdr:cNvPr id="129" name="Graphic 106" descr="Dollar with solid fill">
            <a:extLst>
              <a:ext uri="{FF2B5EF4-FFF2-40B4-BE49-F238E27FC236}">
                <a16:creationId xmlns:a16="http://schemas.microsoft.com/office/drawing/2014/main" id="{B863EF05-25AD-4DA3-96B4-B174202117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96DAC541-7B7A-43D3-8B79-37D633B846F1}">
                <asvg:svgBlip xmlns:asvg="http://schemas.microsoft.com/office/drawing/2016/SVG/main" r:embed="rId29"/>
              </a:ext>
            </a:extLst>
          </a:blip>
          <a:stretch>
            <a:fillRect/>
          </a:stretch>
        </xdr:blipFill>
        <xdr:spPr>
          <a:xfrm>
            <a:off x="6063794" y="7291463"/>
            <a:ext cx="173111" cy="177821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Mudgal" refreshedDate="46080.903739351852" createdVersion="8" refreshedVersion="8" minRefreshableVersion="3" recordCount="44" xr:uid="{D3ACE472-7801-464E-B3E3-4BA1614CC87F}">
  <cacheSource type="worksheet">
    <worksheetSource ref="A1:J45" sheet="Data"/>
  </cacheSource>
  <cacheFields count="11">
    <cacheField name="Date" numFmtId="14">
      <sharedItems containsSemiMixedTypes="0" containsNonDate="0" containsDate="1" containsString="0" minDate="2026-01-01T00:00:00" maxDate="2026-02-14T00:00:00" count="4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</sharedItems>
      <fieldGroup par="10"/>
    </cacheField>
    <cacheField name="Preventive Maintenance" numFmtId="0">
      <sharedItems containsSemiMixedTypes="0" containsString="0" containsNumber="1" containsInteger="1" minValue="37" maxValue="48"/>
    </cacheField>
    <cacheField name="Compliance Rate(%)" numFmtId="9">
      <sharedItems containsSemiMixedTypes="0" containsString="0" containsNumber="1" minValue="0.9" maxValue="0.98"/>
    </cacheField>
    <cacheField name="Planned Preventive Maintenance Jobs" numFmtId="0">
      <sharedItems containsSemiMixedTypes="0" containsString="0" containsNumber="1" containsInteger="1" minValue="40" maxValue="49"/>
    </cacheField>
    <cacheField name="Completed Preventive Maintenance Jobs" numFmtId="0">
      <sharedItems containsSemiMixedTypes="0" containsString="0" containsNumber="1" containsInteger="1" minValue="37" maxValue="48"/>
    </cacheField>
    <cacheField name="PM scheduled Adherence" numFmtId="9">
      <sharedItems containsSemiMixedTypes="0" containsString="0" containsNumber="1" minValue="0.89" maxValue="0.97"/>
    </cacheField>
    <cacheField name="Overdue PM tasks" numFmtId="0">
      <sharedItems containsSemiMixedTypes="0" containsString="0" containsNumber="1" containsInteger="1" minValue="1" maxValue="6"/>
    </cacheField>
    <cacheField name="Average PM Completion Time(hrs)" numFmtId="0">
      <sharedItems containsSemiMixedTypes="0" containsString="0" containsNumber="1" minValue="4.4000000000000004" maxValue="6.1"/>
    </cacheField>
    <cacheField name="Planned Maintenance Cost" numFmtId="164">
      <sharedItems containsSemiMixedTypes="0" containsString="0" containsNumber="1" containsInteger="1" minValue="11800" maxValue="14200"/>
    </cacheField>
    <cacheField name="Actual Maintenance Cost" numFmtId="164">
      <sharedItems containsSemiMixedTypes="0" containsString="0" containsNumber="1" containsInteger="1" minValue="12100" maxValue="14050"/>
    </cacheField>
    <cacheField name="Days (Date)" numFmtId="0" databaseField="0">
      <fieldGroup base="0">
        <rangePr groupBy="days" startDate="2026-01-01T00:00:00" endDate="2026-02-14T00:00:00" groupInterval="8"/>
        <groupItems count="8">
          <s v="&lt;01-01-2026"/>
          <s v="01-01-2026 - 08-01-2026"/>
          <s v="09-01-2026 - 16-01-2026"/>
          <s v="17-01-2026 - 24-01-2026"/>
          <s v="25-01-2026 - 01-02-2026"/>
          <s v="02-02-2026 - 09-02-2026"/>
          <s v="10-02-2026 - 14-02-2026"/>
          <s v="&gt;1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Mudgal" refreshedDate="46164.733130555556" createdVersion="8" refreshedVersion="8" minRefreshableVersion="3" recordCount="44" xr:uid="{E121C82E-775F-4E97-AA01-055F2A066A9A}">
  <cacheSource type="worksheet">
    <worksheetSource name="Table1"/>
  </cacheSource>
  <cacheFields count="10">
    <cacheField name="Date" numFmtId="14">
      <sharedItems containsSemiMixedTypes="0" containsNonDate="0" containsDate="1" containsString="0" minDate="2026-01-01T00:00:00" maxDate="2026-02-14T00:00:00"/>
    </cacheField>
    <cacheField name="Preventive Maintenance" numFmtId="0">
      <sharedItems containsSemiMixedTypes="0" containsString="0" containsNumber="1" containsInteger="1" minValue="37" maxValue="48"/>
    </cacheField>
    <cacheField name="Compliance Rate(%)" numFmtId="9">
      <sharedItems containsSemiMixedTypes="0" containsString="0" containsNumber="1" minValue="0.9" maxValue="0.98"/>
    </cacheField>
    <cacheField name="Planned Preventive Maintenance Jobs" numFmtId="0">
      <sharedItems containsSemiMixedTypes="0" containsString="0" containsNumber="1" containsInteger="1" minValue="40" maxValue="49"/>
    </cacheField>
    <cacheField name="Completed Preventive Maintenance Jobs" numFmtId="0">
      <sharedItems containsSemiMixedTypes="0" containsString="0" containsNumber="1" containsInteger="1" minValue="37" maxValue="48"/>
    </cacheField>
    <cacheField name="PM scheduled Adherence" numFmtId="9">
      <sharedItems containsSemiMixedTypes="0" containsString="0" containsNumber="1" minValue="0.89" maxValue="0.97"/>
    </cacheField>
    <cacheField name="Overdue PM tasks" numFmtId="0">
      <sharedItems containsSemiMixedTypes="0" containsString="0" containsNumber="1" containsInteger="1" minValue="1" maxValue="6"/>
    </cacheField>
    <cacheField name="Average PM Completion Time(hrs)" numFmtId="0">
      <sharedItems containsSemiMixedTypes="0" containsString="0" containsNumber="1" minValue="4.4000000000000004" maxValue="6.1"/>
    </cacheField>
    <cacheField name="Planned Maintenance Cost" numFmtId="164">
      <sharedItems containsSemiMixedTypes="0" containsString="0" containsNumber="1" containsInteger="1" minValue="11800" maxValue="14200"/>
    </cacheField>
    <cacheField name="Actual Maintenance Cost" numFmtId="164">
      <sharedItems containsSemiMixedTypes="0" containsString="0" containsNumber="1" containsInteger="1" minValue="12100" maxValue="14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n v="42"/>
    <n v="0.94"/>
    <n v="45"/>
    <n v="42"/>
    <n v="0.93"/>
    <n v="3"/>
    <n v="5.2"/>
    <n v="12500"/>
    <n v="12900"/>
  </r>
  <r>
    <x v="1"/>
    <n v="38"/>
    <n v="0.92"/>
    <n v="40"/>
    <n v="38"/>
    <n v="0.91"/>
    <n v="4"/>
    <n v="5.5"/>
    <n v="11800"/>
    <n v="12100"/>
  </r>
  <r>
    <x v="2"/>
    <n v="44"/>
    <n v="0.96"/>
    <n v="46"/>
    <n v="44"/>
    <n v="0.95"/>
    <n v="2"/>
    <n v="4.9000000000000004"/>
    <n v="13200"/>
    <n v="13000"/>
  </r>
  <r>
    <x v="3"/>
    <n v="41"/>
    <n v="0.93"/>
    <n v="43"/>
    <n v="41"/>
    <n v="0.92"/>
    <n v="3"/>
    <n v="5.3"/>
    <n v="12600"/>
    <n v="12850"/>
  </r>
  <r>
    <x v="4"/>
    <n v="39"/>
    <n v="0.91"/>
    <n v="42"/>
    <n v="39"/>
    <n v="0.9"/>
    <n v="5"/>
    <n v="5.7"/>
    <n v="12000"/>
    <n v="12500"/>
  </r>
  <r>
    <x v="5"/>
    <n v="47"/>
    <n v="0.97"/>
    <n v="48"/>
    <n v="47"/>
    <n v="0.96"/>
    <n v="1"/>
    <n v="4.5999999999999996"/>
    <n v="13800"/>
    <n v="13600"/>
  </r>
  <r>
    <x v="6"/>
    <n v="43"/>
    <n v="0.95"/>
    <n v="45"/>
    <n v="43"/>
    <n v="0.94"/>
    <n v="2"/>
    <n v="5"/>
    <n v="13000"/>
    <n v="13150"/>
  </r>
  <r>
    <x v="7"/>
    <n v="40"/>
    <n v="0.92"/>
    <n v="43"/>
    <n v="40"/>
    <n v="0.91"/>
    <n v="4"/>
    <n v="5.4"/>
    <n v="12400"/>
    <n v="12700"/>
  </r>
  <r>
    <x v="8"/>
    <n v="46"/>
    <n v="0.97"/>
    <n v="47"/>
    <n v="46"/>
    <n v="0.96"/>
    <n v="1"/>
    <n v="4.8"/>
    <n v="13900"/>
    <n v="13750"/>
  </r>
  <r>
    <x v="9"/>
    <n v="42"/>
    <n v="0.94"/>
    <n v="44"/>
    <n v="42"/>
    <n v="0.93"/>
    <n v="3"/>
    <n v="5.0999999999999996"/>
    <n v="12700"/>
    <n v="12950"/>
  </r>
  <r>
    <x v="10"/>
    <n v="39"/>
    <n v="0.91"/>
    <n v="41"/>
    <n v="39"/>
    <n v="0.9"/>
    <n v="5"/>
    <n v="5.8"/>
    <n v="12100"/>
    <n v="12600"/>
  </r>
  <r>
    <x v="11"/>
    <n v="45"/>
    <n v="0.96"/>
    <n v="47"/>
    <n v="45"/>
    <n v="0.95"/>
    <n v="2"/>
    <n v="4.7"/>
    <n v="13500"/>
    <n v="13400"/>
  </r>
  <r>
    <x v="12"/>
    <n v="41"/>
    <n v="0.93"/>
    <n v="44"/>
    <n v="41"/>
    <n v="0.92"/>
    <n v="3"/>
    <n v="5.3"/>
    <n v="12600"/>
    <n v="12900"/>
  </r>
  <r>
    <x v="13"/>
    <n v="37"/>
    <n v="0.9"/>
    <n v="41"/>
    <n v="37"/>
    <n v="0.89"/>
    <n v="6"/>
    <n v="6"/>
    <n v="11900"/>
    <n v="12600"/>
  </r>
  <r>
    <x v="14"/>
    <n v="48"/>
    <n v="0.98"/>
    <n v="49"/>
    <n v="48"/>
    <n v="0.97"/>
    <n v="1"/>
    <n v="4.5"/>
    <n v="14200"/>
    <n v="14000"/>
  </r>
  <r>
    <x v="15"/>
    <n v="44"/>
    <n v="0.95"/>
    <n v="46"/>
    <n v="44"/>
    <n v="0.94"/>
    <n v="2"/>
    <n v="5"/>
    <n v="13100"/>
    <n v="13250"/>
  </r>
  <r>
    <x v="16"/>
    <n v="40"/>
    <n v="0.92"/>
    <n v="43"/>
    <n v="40"/>
    <n v="0.91"/>
    <n v="4"/>
    <n v="5.4"/>
    <n v="12500"/>
    <n v="12800"/>
  </r>
  <r>
    <x v="17"/>
    <n v="46"/>
    <n v="0.97"/>
    <n v="47"/>
    <n v="46"/>
    <n v="0.96"/>
    <n v="1"/>
    <n v="4.7"/>
    <n v="13800"/>
    <n v="13700"/>
  </r>
  <r>
    <x v="18"/>
    <n v="42"/>
    <n v="0.94"/>
    <n v="44"/>
    <n v="42"/>
    <n v="0.93"/>
    <n v="3"/>
    <n v="5.2"/>
    <n v="12700"/>
    <n v="12950"/>
  </r>
  <r>
    <x v="19"/>
    <n v="38"/>
    <n v="0.91"/>
    <n v="41"/>
    <n v="38"/>
    <n v="0.9"/>
    <n v="5"/>
    <n v="5.7"/>
    <n v="12000"/>
    <n v="12450"/>
  </r>
  <r>
    <x v="20"/>
    <n v="45"/>
    <n v="0.96"/>
    <n v="47"/>
    <n v="45"/>
    <n v="0.95"/>
    <n v="2"/>
    <n v="4.8"/>
    <n v="13600"/>
    <n v="13450"/>
  </r>
  <r>
    <x v="21"/>
    <n v="41"/>
    <n v="0.93"/>
    <n v="44"/>
    <n v="41"/>
    <n v="0.92"/>
    <n v="3"/>
    <n v="5.3"/>
    <n v="12600"/>
    <n v="12900"/>
  </r>
  <r>
    <x v="22"/>
    <n v="39"/>
    <n v="0.91"/>
    <n v="42"/>
    <n v="39"/>
    <n v="0.9"/>
    <n v="5"/>
    <n v="5.6"/>
    <n v="12100"/>
    <n v="12550"/>
  </r>
  <r>
    <x v="23"/>
    <n v="47"/>
    <n v="0.97"/>
    <n v="48"/>
    <n v="47"/>
    <n v="0.96"/>
    <n v="1"/>
    <n v="4.5999999999999996"/>
    <n v="13900"/>
    <n v="13800"/>
  </r>
  <r>
    <x v="24"/>
    <n v="43"/>
    <n v="0.95"/>
    <n v="45"/>
    <n v="43"/>
    <n v="0.94"/>
    <n v="2"/>
    <n v="5"/>
    <n v="13000"/>
    <n v="13200"/>
  </r>
  <r>
    <x v="25"/>
    <n v="40"/>
    <n v="0.92"/>
    <n v="43"/>
    <n v="40"/>
    <n v="0.91"/>
    <n v="4"/>
    <n v="5.4"/>
    <n v="12400"/>
    <n v="12750"/>
  </r>
  <r>
    <x v="26"/>
    <n v="46"/>
    <n v="0.97"/>
    <n v="47"/>
    <n v="46"/>
    <n v="0.96"/>
    <n v="1"/>
    <n v="4.7"/>
    <n v="13850"/>
    <n v="13700"/>
  </r>
  <r>
    <x v="27"/>
    <n v="42"/>
    <n v="0.94"/>
    <n v="44"/>
    <n v="42"/>
    <n v="0.93"/>
    <n v="3"/>
    <n v="5.0999999999999996"/>
    <n v="12700"/>
    <n v="12950"/>
  </r>
  <r>
    <x v="28"/>
    <n v="38"/>
    <n v="0.91"/>
    <n v="41"/>
    <n v="38"/>
    <n v="0.9"/>
    <n v="5"/>
    <n v="5.8"/>
    <n v="12000"/>
    <n v="12600"/>
  </r>
  <r>
    <x v="29"/>
    <n v="48"/>
    <n v="0.98"/>
    <n v="49"/>
    <n v="48"/>
    <n v="0.97"/>
    <n v="1"/>
    <n v="4.4000000000000004"/>
    <n v="14200"/>
    <n v="14050"/>
  </r>
  <r>
    <x v="30"/>
    <n v="44"/>
    <n v="0.95"/>
    <n v="46"/>
    <n v="44"/>
    <n v="0.94"/>
    <n v="2"/>
    <n v="5"/>
    <n v="13100"/>
    <n v="13250"/>
  </r>
  <r>
    <x v="31"/>
    <n v="41"/>
    <n v="0.93"/>
    <n v="44"/>
    <n v="41"/>
    <n v="0.92"/>
    <n v="3"/>
    <n v="5.3"/>
    <n v="12600"/>
    <n v="12850"/>
  </r>
  <r>
    <x v="32"/>
    <n v="39"/>
    <n v="0.91"/>
    <n v="42"/>
    <n v="39"/>
    <n v="0.9"/>
    <n v="5"/>
    <n v="5.6"/>
    <n v="12100"/>
    <n v="12550"/>
  </r>
  <r>
    <x v="33"/>
    <n v="45"/>
    <n v="0.96"/>
    <n v="47"/>
    <n v="45"/>
    <n v="0.95"/>
    <n v="2"/>
    <n v="4.8"/>
    <n v="13500"/>
    <n v="13400"/>
  </r>
  <r>
    <x v="34"/>
    <n v="42"/>
    <n v="0.94"/>
    <n v="45"/>
    <n v="42"/>
    <n v="0.93"/>
    <n v="3"/>
    <n v="5.2"/>
    <n v="12700"/>
    <n v="12950"/>
  </r>
  <r>
    <x v="35"/>
    <n v="37"/>
    <n v="0.9"/>
    <n v="41"/>
    <n v="37"/>
    <n v="0.89"/>
    <n v="6"/>
    <n v="6.1"/>
    <n v="11900"/>
    <n v="12700"/>
  </r>
  <r>
    <x v="36"/>
    <n v="47"/>
    <n v="0.97"/>
    <n v="48"/>
    <n v="47"/>
    <n v="0.96"/>
    <n v="1"/>
    <n v="4.5999999999999996"/>
    <n v="13900"/>
    <n v="13800"/>
  </r>
  <r>
    <x v="37"/>
    <n v="43"/>
    <n v="0.95"/>
    <n v="45"/>
    <n v="43"/>
    <n v="0.94"/>
    <n v="2"/>
    <n v="5"/>
    <n v="13000"/>
    <n v="13200"/>
  </r>
  <r>
    <x v="38"/>
    <n v="40"/>
    <n v="0.92"/>
    <n v="43"/>
    <n v="40"/>
    <n v="0.91"/>
    <n v="4"/>
    <n v="5.4"/>
    <n v="12400"/>
    <n v="12750"/>
  </r>
  <r>
    <x v="39"/>
    <n v="46"/>
    <n v="0.97"/>
    <n v="47"/>
    <n v="46"/>
    <n v="0.96"/>
    <n v="1"/>
    <n v="4.7"/>
    <n v="13850"/>
    <n v="13700"/>
  </r>
  <r>
    <x v="40"/>
    <n v="42"/>
    <n v="0.94"/>
    <n v="44"/>
    <n v="42"/>
    <n v="0.93"/>
    <n v="3"/>
    <n v="5.0999999999999996"/>
    <n v="12700"/>
    <n v="12950"/>
  </r>
  <r>
    <x v="41"/>
    <n v="38"/>
    <n v="0.91"/>
    <n v="41"/>
    <n v="38"/>
    <n v="0.9"/>
    <n v="5"/>
    <n v="5.8"/>
    <n v="12000"/>
    <n v="12600"/>
  </r>
  <r>
    <x v="42"/>
    <n v="48"/>
    <n v="0.98"/>
    <n v="49"/>
    <n v="48"/>
    <n v="0.97"/>
    <n v="1"/>
    <n v="4.5"/>
    <n v="14200"/>
    <n v="14050"/>
  </r>
  <r>
    <x v="43"/>
    <n v="44"/>
    <n v="0.95"/>
    <n v="46"/>
    <n v="44"/>
    <n v="0.94"/>
    <n v="2"/>
    <n v="5"/>
    <n v="13100"/>
    <n v="13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6-01-01T00:00:00"/>
    <n v="42"/>
    <n v="0.94"/>
    <n v="45"/>
    <n v="42"/>
    <n v="0.93"/>
    <n v="3"/>
    <n v="5.2"/>
    <n v="12500"/>
    <n v="12900"/>
  </r>
  <r>
    <d v="2026-01-02T00:00:00"/>
    <n v="38"/>
    <n v="0.92"/>
    <n v="40"/>
    <n v="38"/>
    <n v="0.91"/>
    <n v="4"/>
    <n v="5.5"/>
    <n v="11800"/>
    <n v="12100"/>
  </r>
  <r>
    <d v="2026-01-03T00:00:00"/>
    <n v="44"/>
    <n v="0.96"/>
    <n v="46"/>
    <n v="44"/>
    <n v="0.95"/>
    <n v="2"/>
    <n v="4.9000000000000004"/>
    <n v="13200"/>
    <n v="13000"/>
  </r>
  <r>
    <d v="2026-01-04T00:00:00"/>
    <n v="41"/>
    <n v="0.93"/>
    <n v="43"/>
    <n v="41"/>
    <n v="0.92"/>
    <n v="3"/>
    <n v="5.3"/>
    <n v="12600"/>
    <n v="12850"/>
  </r>
  <r>
    <d v="2026-01-05T00:00:00"/>
    <n v="39"/>
    <n v="0.91"/>
    <n v="42"/>
    <n v="39"/>
    <n v="0.9"/>
    <n v="5"/>
    <n v="5.7"/>
    <n v="12000"/>
    <n v="12500"/>
  </r>
  <r>
    <d v="2026-01-06T00:00:00"/>
    <n v="47"/>
    <n v="0.97"/>
    <n v="48"/>
    <n v="47"/>
    <n v="0.96"/>
    <n v="1"/>
    <n v="4.5999999999999996"/>
    <n v="13800"/>
    <n v="13600"/>
  </r>
  <r>
    <d v="2026-01-07T00:00:00"/>
    <n v="43"/>
    <n v="0.95"/>
    <n v="45"/>
    <n v="43"/>
    <n v="0.94"/>
    <n v="2"/>
    <n v="5"/>
    <n v="13000"/>
    <n v="13150"/>
  </r>
  <r>
    <d v="2026-01-08T00:00:00"/>
    <n v="40"/>
    <n v="0.92"/>
    <n v="43"/>
    <n v="40"/>
    <n v="0.91"/>
    <n v="4"/>
    <n v="5.4"/>
    <n v="12400"/>
    <n v="12700"/>
  </r>
  <r>
    <d v="2026-01-09T00:00:00"/>
    <n v="46"/>
    <n v="0.97"/>
    <n v="47"/>
    <n v="46"/>
    <n v="0.96"/>
    <n v="1"/>
    <n v="4.8"/>
    <n v="13900"/>
    <n v="13750"/>
  </r>
  <r>
    <d v="2026-01-10T00:00:00"/>
    <n v="42"/>
    <n v="0.94"/>
    <n v="44"/>
    <n v="42"/>
    <n v="0.93"/>
    <n v="3"/>
    <n v="5.0999999999999996"/>
    <n v="12700"/>
    <n v="12950"/>
  </r>
  <r>
    <d v="2026-01-11T00:00:00"/>
    <n v="39"/>
    <n v="0.91"/>
    <n v="41"/>
    <n v="39"/>
    <n v="0.9"/>
    <n v="5"/>
    <n v="5.8"/>
    <n v="12100"/>
    <n v="12600"/>
  </r>
  <r>
    <d v="2026-01-12T00:00:00"/>
    <n v="45"/>
    <n v="0.96"/>
    <n v="47"/>
    <n v="45"/>
    <n v="0.95"/>
    <n v="2"/>
    <n v="4.7"/>
    <n v="13500"/>
    <n v="13400"/>
  </r>
  <r>
    <d v="2026-01-13T00:00:00"/>
    <n v="41"/>
    <n v="0.93"/>
    <n v="44"/>
    <n v="41"/>
    <n v="0.92"/>
    <n v="3"/>
    <n v="5.3"/>
    <n v="12600"/>
    <n v="12900"/>
  </r>
  <r>
    <d v="2026-01-14T00:00:00"/>
    <n v="37"/>
    <n v="0.9"/>
    <n v="41"/>
    <n v="37"/>
    <n v="0.89"/>
    <n v="6"/>
    <n v="6"/>
    <n v="11900"/>
    <n v="12600"/>
  </r>
  <r>
    <d v="2026-01-15T00:00:00"/>
    <n v="48"/>
    <n v="0.98"/>
    <n v="49"/>
    <n v="48"/>
    <n v="0.97"/>
    <n v="1"/>
    <n v="4.5"/>
    <n v="14200"/>
    <n v="14000"/>
  </r>
  <r>
    <d v="2026-01-16T00:00:00"/>
    <n v="44"/>
    <n v="0.95"/>
    <n v="46"/>
    <n v="44"/>
    <n v="0.94"/>
    <n v="2"/>
    <n v="5"/>
    <n v="13100"/>
    <n v="13250"/>
  </r>
  <r>
    <d v="2026-01-17T00:00:00"/>
    <n v="40"/>
    <n v="0.92"/>
    <n v="43"/>
    <n v="40"/>
    <n v="0.91"/>
    <n v="4"/>
    <n v="5.4"/>
    <n v="12500"/>
    <n v="12800"/>
  </r>
  <r>
    <d v="2026-01-18T00:00:00"/>
    <n v="46"/>
    <n v="0.97"/>
    <n v="47"/>
    <n v="46"/>
    <n v="0.96"/>
    <n v="1"/>
    <n v="4.7"/>
    <n v="13800"/>
    <n v="13700"/>
  </r>
  <r>
    <d v="2026-01-19T00:00:00"/>
    <n v="42"/>
    <n v="0.94"/>
    <n v="44"/>
    <n v="42"/>
    <n v="0.93"/>
    <n v="3"/>
    <n v="5.2"/>
    <n v="12700"/>
    <n v="12950"/>
  </r>
  <r>
    <d v="2026-01-20T00:00:00"/>
    <n v="38"/>
    <n v="0.91"/>
    <n v="41"/>
    <n v="38"/>
    <n v="0.9"/>
    <n v="5"/>
    <n v="5.7"/>
    <n v="12000"/>
    <n v="12450"/>
  </r>
  <r>
    <d v="2026-01-21T00:00:00"/>
    <n v="45"/>
    <n v="0.96"/>
    <n v="47"/>
    <n v="45"/>
    <n v="0.95"/>
    <n v="2"/>
    <n v="4.8"/>
    <n v="13600"/>
    <n v="13450"/>
  </r>
  <r>
    <d v="2026-01-22T00:00:00"/>
    <n v="41"/>
    <n v="0.93"/>
    <n v="44"/>
    <n v="41"/>
    <n v="0.92"/>
    <n v="3"/>
    <n v="5.3"/>
    <n v="12600"/>
    <n v="12900"/>
  </r>
  <r>
    <d v="2026-01-23T00:00:00"/>
    <n v="39"/>
    <n v="0.91"/>
    <n v="42"/>
    <n v="39"/>
    <n v="0.9"/>
    <n v="5"/>
    <n v="5.6"/>
    <n v="12100"/>
    <n v="12550"/>
  </r>
  <r>
    <d v="2026-01-24T00:00:00"/>
    <n v="47"/>
    <n v="0.97"/>
    <n v="48"/>
    <n v="47"/>
    <n v="0.96"/>
    <n v="1"/>
    <n v="4.5999999999999996"/>
    <n v="13900"/>
    <n v="13800"/>
  </r>
  <r>
    <d v="2026-01-25T00:00:00"/>
    <n v="43"/>
    <n v="0.95"/>
    <n v="45"/>
    <n v="43"/>
    <n v="0.94"/>
    <n v="2"/>
    <n v="5"/>
    <n v="13000"/>
    <n v="13200"/>
  </r>
  <r>
    <d v="2026-01-26T00:00:00"/>
    <n v="40"/>
    <n v="0.92"/>
    <n v="43"/>
    <n v="40"/>
    <n v="0.91"/>
    <n v="4"/>
    <n v="5.4"/>
    <n v="12400"/>
    <n v="12750"/>
  </r>
  <r>
    <d v="2026-01-27T00:00:00"/>
    <n v="46"/>
    <n v="0.97"/>
    <n v="47"/>
    <n v="46"/>
    <n v="0.96"/>
    <n v="1"/>
    <n v="4.7"/>
    <n v="13850"/>
    <n v="13700"/>
  </r>
  <r>
    <d v="2026-01-28T00:00:00"/>
    <n v="42"/>
    <n v="0.94"/>
    <n v="44"/>
    <n v="42"/>
    <n v="0.93"/>
    <n v="3"/>
    <n v="5.0999999999999996"/>
    <n v="12700"/>
    <n v="12950"/>
  </r>
  <r>
    <d v="2026-01-29T00:00:00"/>
    <n v="38"/>
    <n v="0.91"/>
    <n v="41"/>
    <n v="38"/>
    <n v="0.9"/>
    <n v="5"/>
    <n v="5.8"/>
    <n v="12000"/>
    <n v="12600"/>
  </r>
  <r>
    <d v="2026-01-30T00:00:00"/>
    <n v="48"/>
    <n v="0.98"/>
    <n v="49"/>
    <n v="48"/>
    <n v="0.97"/>
    <n v="1"/>
    <n v="4.4000000000000004"/>
    <n v="14200"/>
    <n v="14050"/>
  </r>
  <r>
    <d v="2026-01-31T00:00:00"/>
    <n v="44"/>
    <n v="0.95"/>
    <n v="46"/>
    <n v="44"/>
    <n v="0.94"/>
    <n v="2"/>
    <n v="5"/>
    <n v="13100"/>
    <n v="13250"/>
  </r>
  <r>
    <d v="2026-02-01T00:00:00"/>
    <n v="41"/>
    <n v="0.93"/>
    <n v="44"/>
    <n v="41"/>
    <n v="0.92"/>
    <n v="3"/>
    <n v="5.3"/>
    <n v="12600"/>
    <n v="12850"/>
  </r>
  <r>
    <d v="2026-02-02T00:00:00"/>
    <n v="39"/>
    <n v="0.91"/>
    <n v="42"/>
    <n v="39"/>
    <n v="0.9"/>
    <n v="5"/>
    <n v="5.6"/>
    <n v="12100"/>
    <n v="12550"/>
  </r>
  <r>
    <d v="2026-02-03T00:00:00"/>
    <n v="45"/>
    <n v="0.96"/>
    <n v="47"/>
    <n v="45"/>
    <n v="0.95"/>
    <n v="2"/>
    <n v="4.8"/>
    <n v="13500"/>
    <n v="13400"/>
  </r>
  <r>
    <d v="2026-02-04T00:00:00"/>
    <n v="42"/>
    <n v="0.94"/>
    <n v="45"/>
    <n v="42"/>
    <n v="0.93"/>
    <n v="3"/>
    <n v="5.2"/>
    <n v="12700"/>
    <n v="12950"/>
  </r>
  <r>
    <d v="2026-02-05T00:00:00"/>
    <n v="37"/>
    <n v="0.9"/>
    <n v="41"/>
    <n v="37"/>
    <n v="0.89"/>
    <n v="6"/>
    <n v="6.1"/>
    <n v="11900"/>
    <n v="12700"/>
  </r>
  <r>
    <d v="2026-02-06T00:00:00"/>
    <n v="47"/>
    <n v="0.97"/>
    <n v="48"/>
    <n v="47"/>
    <n v="0.96"/>
    <n v="1"/>
    <n v="4.5999999999999996"/>
    <n v="13900"/>
    <n v="13800"/>
  </r>
  <r>
    <d v="2026-02-07T00:00:00"/>
    <n v="43"/>
    <n v="0.95"/>
    <n v="45"/>
    <n v="43"/>
    <n v="0.94"/>
    <n v="2"/>
    <n v="5"/>
    <n v="13000"/>
    <n v="13200"/>
  </r>
  <r>
    <d v="2026-02-08T00:00:00"/>
    <n v="40"/>
    <n v="0.92"/>
    <n v="43"/>
    <n v="40"/>
    <n v="0.91"/>
    <n v="4"/>
    <n v="5.4"/>
    <n v="12400"/>
    <n v="12750"/>
  </r>
  <r>
    <d v="2026-02-09T00:00:00"/>
    <n v="46"/>
    <n v="0.97"/>
    <n v="47"/>
    <n v="46"/>
    <n v="0.96"/>
    <n v="1"/>
    <n v="4.7"/>
    <n v="13850"/>
    <n v="13700"/>
  </r>
  <r>
    <d v="2026-02-10T00:00:00"/>
    <n v="42"/>
    <n v="0.94"/>
    <n v="44"/>
    <n v="42"/>
    <n v="0.93"/>
    <n v="3"/>
    <n v="5.0999999999999996"/>
    <n v="12700"/>
    <n v="12950"/>
  </r>
  <r>
    <d v="2026-02-11T00:00:00"/>
    <n v="38"/>
    <n v="0.91"/>
    <n v="41"/>
    <n v="38"/>
    <n v="0.9"/>
    <n v="5"/>
    <n v="5.8"/>
    <n v="12000"/>
    <n v="12600"/>
  </r>
  <r>
    <d v="2026-02-12T00:00:00"/>
    <n v="48"/>
    <n v="0.98"/>
    <n v="49"/>
    <n v="48"/>
    <n v="0.97"/>
    <n v="1"/>
    <n v="4.5"/>
    <n v="14200"/>
    <n v="14050"/>
  </r>
  <r>
    <d v="2026-02-13T00:00:00"/>
    <n v="44"/>
    <n v="0.95"/>
    <n v="46"/>
    <n v="44"/>
    <n v="0.94"/>
    <n v="2"/>
    <n v="5"/>
    <n v="13100"/>
    <n v="13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EA652-7313-427D-A098-0DB784333260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3:K64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showAll="0"/>
    <pivotField showAll="0"/>
    <pivotField numFmtId="164" showAll="0"/>
    <pivotField dataField="1" numFmtId="164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Total Maintenance Cost" fld="9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AE307-2103-42C1-988C-DC15810AEC6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showAll="0"/>
    <pivotField dataField="1" showAll="0"/>
    <pivotField numFmtId="164" showAll="0"/>
    <pivotField numFmtId="16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dataFields count="1">
    <dataField name="Average of Average PM Completion Time(hrs)" fld="7" subtotal="average" baseField="0" baseItem="0" numFmtId="1"/>
  </dataFields>
  <formats count="3">
    <format dxfId="3">
      <pivotArea type="all" dataOnly="0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85F5F-7ECC-4EB0-83EA-AF0E7EE92BE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2:L9" firstHeaderRow="0" firstDataRow="1" firstDataCol="1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showAll="0"/>
    <pivotField showAll="0"/>
    <pivotField dataField="1" numFmtId="164" showAll="0"/>
    <pivotField dataField="1" numFmtId="164" showAll="0"/>
    <pivotField axis="axisRow" showAll="0" defaultSubtotal="0">
      <items count="8">
        <item x="0"/>
        <item n="1st Jan - 8th Jan" x="1"/>
        <item n="9th Jan - 16th Jan" x="2"/>
        <item n="17th Jan - 24th Jan" x="3"/>
        <item n="25th Jan - 1st Feb" x="4"/>
        <item n="2nd Feb - 9th Feb" x="5"/>
        <item n="10th Feb - 14th Feb" x="6"/>
        <item x="7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Planned Maint Cost" fld="8" baseField="10" baseItem="1" numFmtId="164"/>
    <dataField name=" Actual Maint Cost" fld="9" baseField="10" baseItem="1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AB90C-CB63-4B16-8EE0-D7424FEDC7D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B13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showAll="0"/>
    <pivotField showAll="0"/>
    <pivotField numFmtId="164" showAll="0"/>
    <pivotField dataField="1" numFmtId="16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dataFields count="1">
    <dataField name="Sum of Actual Maintenance Cost" fld="9" baseField="0" baseItem="0" numFmtId="164"/>
  </dataFields>
  <formats count="3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E6062-2E78-4C64-B8A2-F793C4B9AB8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8:H39" firstHeaderRow="0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dataField="1" showAll="0"/>
    <pivotField dataField="1" showAll="0"/>
    <pivotField numFmtId="9" showAll="0"/>
    <pivotField dataField="1" showAll="0"/>
    <pivotField showAll="0"/>
    <pivotField numFmtId="164" showAll="0"/>
    <pivotField numFmtId="164" showAll="0"/>
    <pivotField showAll="0" defaultSubtotal="0">
      <items count="8">
        <item x="0"/>
        <item n="1st Jan - 8th Jan" x="1"/>
        <item n="9th Jan - 16th Jan" x="2"/>
        <item n="17th Jan - 24th Jan" x="3"/>
        <item n="25th Jan - 1 Feb" x="4"/>
        <item n="2feb - 9Feb" x="5"/>
        <item n="10th feb - 14th feb" x="6"/>
        <item x="7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Overdue PM tasks" fld="6" baseField="0" baseItem="0"/>
    <dataField name="Sum of Planned Preventive Maintenance Jobs" fld="3" baseField="0" baseItem="0"/>
    <dataField name="Sum of Completed Preventive Maintenance Job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6C548-4F93-42BA-9C54-A4EC8A82A43D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19:E26" firstHeaderRow="0" firstDataRow="1" firstDataCol="1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dataField="1" showAll="0"/>
    <pivotField dataField="1" showAll="0"/>
    <pivotField numFmtId="9" showAll="0"/>
    <pivotField dataField="1" showAll="0"/>
    <pivotField showAll="0"/>
    <pivotField numFmtId="164" showAll="0"/>
    <pivotField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pleted Preventive Maintenance Jobs" fld="4" baseField="0" baseItem="0"/>
    <dataField name="Sum of Overdue PM tasks" fld="6" baseField="0" baseItem="0"/>
    <dataField name="Sum of Planned Preventive Maintenance Jobs" fld="3" baseField="0" baseItem="0"/>
  </dataFields>
  <formats count="3">
    <format dxfId="9">
      <pivotArea type="all" dataOnly="0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9ECBA-13B0-43D0-8D4B-D221FD00C65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B7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dataField="1" showAll="0"/>
    <pivotField showAll="0"/>
    <pivotField numFmtId="164" showAll="0"/>
    <pivotField numFmtId="16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dataFields count="1">
    <dataField name="Sum of Overdue PM tasks" fld="6" baseField="0" baseItem="0" numFmtId="1"/>
  </dataFields>
  <formats count="3">
    <format dxfId="12">
      <pivotArea type="all" dataOnly="0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24123-E743-4E4A-B4F0-E303EEEBE093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0:K51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dataField="1" showAll="0"/>
    <pivotField showAll="0"/>
    <pivotField numFmtId="9" showAll="0"/>
    <pivotField showAll="0"/>
    <pivotField showAll="0"/>
    <pivotField numFmtId="164" showAll="0"/>
    <pivotField numFmtId="164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Total PM Job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646E3-AC3B-475F-B551-7ECCED295FB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8:K35" firstHeaderRow="1" firstDataRow="1" firstDataCol="1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dataField="1" showAll="0"/>
    <pivotField showAll="0"/>
    <pivotField numFmtId="164" showAll="0"/>
    <pivotField numFmtId="164" showAll="0"/>
    <pivotField axis="axisRow" showAll="0" defaultSubtotal="0">
      <items count="8">
        <item x="0"/>
        <item n="1st Jan - 8th Jan" x="1"/>
        <item n="9th Jan - 16th Jan" x="2"/>
        <item n="17th Jan - 24th Jan" x="3"/>
        <item n="25th Jan - 1 Feb" x="4"/>
        <item n="2nd Feb - 9th Feb" x="5"/>
        <item n="10th feb - 14th feb" x="6"/>
        <item x="7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verdue PM tasks" fld="6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BF317-0158-43B7-BD17-AC4B85A12B6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:G9" firstHeaderRow="1" firstDataRow="1" firstDataCol="1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numFmtId="9" showAll="0"/>
    <pivotField showAll="0"/>
    <pivotField showAll="0"/>
    <pivotField numFmtId="9" showAll="0"/>
    <pivotField showAll="0"/>
    <pivotField showAll="0"/>
    <pivotField numFmtId="164" showAll="0"/>
    <pivotField numFmtId="164" showAll="0"/>
    <pivotField axis="axisRow" showAll="0">
      <items count="9">
        <item x="0"/>
        <item n="1st Jan - 8th Jan" x="1"/>
        <item n="9th jan - 16th Jan" x="2"/>
        <item n="17th Jan - 24th Jan" x="3"/>
        <item n="25th Jan - 1st Feb" x="4"/>
        <item n="2nd Feb - 9th Feb" x="5"/>
        <item n="10th Feb - 14th Feb" x="6"/>
        <item x="7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ompliance Rate(%)" fld="2" subtotal="average" baseField="10" baseItem="1" numFmtId="165"/>
  </dataFields>
  <formats count="4">
    <format dxfId="16">
      <pivotArea type="all" dataOnly="0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  <format dxfId="13">
      <pivotArea collapsedLevelsAreSubtotals="1" fieldPosition="0">
        <references count="1">
          <reference field="10" count="6">
            <x v="1"/>
            <x v="2"/>
            <x v="3"/>
            <x v="4"/>
            <x v="5"/>
            <x v="6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FB7EA-C60A-484E-8091-BD9F098C208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B16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dataField="1" showAll="0"/>
    <pivotField showAll="0"/>
    <pivotField numFmtId="9" showAll="0"/>
    <pivotField showAll="0"/>
    <pivotField showAll="0"/>
    <pivotField numFmtId="164" showAll="0"/>
    <pivotField numFmtId="16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dataFields count="1">
    <dataField name="Sum of Planned Preventive Maintenance Jobs" fld="3" baseField="0" baseItem="0"/>
  </dataFields>
  <formats count="3">
    <format dxfId="19">
      <pivotArea type="all" dataOnly="0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18B6B-5A67-40CD-AF17-2EB6E6EF710D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4:K55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numFmtId="9" showAll="0"/>
    <pivotField showAll="0"/>
    <pivotField showAll="0"/>
    <pivotField numFmtId="9" showAll="0"/>
    <pivotField showAll="0"/>
    <pivotField showAll="0"/>
    <pivotField numFmtId="164" showAll="0"/>
    <pivotField numFmtId="164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Average of Compliance Rate(%)" fld="2" subtotal="average" baseField="0" baseItem="0" numFmtId="166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4E131-BEF2-48A8-95C0-DDE0FA732C76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7:K58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dataField="1" showAll="0"/>
    <pivotField showAll="0"/>
    <pivotField numFmtId="164" showAll="0"/>
    <pivotField numFmtId="164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Sum of Overdue PM tasks" fld="6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CDD0-7BCA-42A9-897A-D2AFEE357E9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:G31" firstHeaderRow="0" firstDataRow="1" firstDataCol="0"/>
  <pivotFields count="10">
    <pivotField numFmtId="14" showAll="0"/>
    <pivotField showAll="0"/>
    <pivotField numFmtId="9" showAll="0"/>
    <pivotField dataField="1" showAll="0"/>
    <pivotField dataField="1" showAll="0"/>
    <pivotField dataField="1" numFmtId="9" showAll="0"/>
    <pivotField dataField="1" showAll="0"/>
    <pivotField showAll="0"/>
    <pivotField dataField="1" numFmtId="164" showAll="0"/>
    <pivotField dataField="1" numFmtId="164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Planned Preventive Maintenance Jobs" fld="3" baseField="0" baseItem="0"/>
    <dataField name="Sum of Completed Preventive Maintenance Jobs" fld="4" baseField="0" baseItem="0"/>
    <dataField name="Average of PM scheduled Adherence" fld="5" subtotal="average" baseField="0" baseItem="2" numFmtId="9"/>
    <dataField name="Sum of Overdue PM tasks" fld="6" baseField="0" baseItem="0"/>
    <dataField name="Sum of Planned Maintenance Cost" fld="8" baseField="0" baseItem="0" numFmtId="164"/>
    <dataField name="Sum of Actual Maintenance Cos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10A26-98D5-4ACB-A6AB-D2EFB6F69A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0:K61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numFmtId="9" showAll="0"/>
    <pivotField showAll="0"/>
    <pivotField showAll="0"/>
    <pivotField numFmtId="9" showAll="0"/>
    <pivotField showAll="0"/>
    <pivotField dataField="1" showAll="0"/>
    <pivotField numFmtId="164" showAll="0"/>
    <pivotField numFmtId="164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Average of Average PM Completion Time(hrs)" fld="7" subtotal="average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2EB3E-6EF7-4038-8D77-7246DAFB0A4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1">
    <pivotField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numFmtId="9" showAll="0"/>
    <pivotField showAll="0"/>
    <pivotField showAll="0"/>
    <pivotField numFmtId="9" showAll="0"/>
    <pivotField showAll="0"/>
    <pivotField showAll="0"/>
    <pivotField numFmtId="164" showAll="0"/>
    <pivotField numFmtId="16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dataFields count="1">
    <dataField name="Average of Compliance Rate(%)" fld="2" subtotal="average" baseField="0" baseItem="0" numFmtId="9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3F97D-B681-4D3A-A6B0-FBAA24C78F59}" name="Table1" displayName="Table1" ref="A1:J45" totalsRowShown="0" headerRowDxfId="35" tableBorderDxfId="34">
  <autoFilter ref="A1:J45" xr:uid="{89A3F97D-B681-4D3A-A6B0-FBAA24C78F59}"/>
  <tableColumns count="10">
    <tableColumn id="1" xr3:uid="{5AFA8561-5B92-44B1-90BD-7A18508F46EB}" name="Date" dataDxfId="33"/>
    <tableColumn id="2" xr3:uid="{6331AE37-7577-4E27-89AA-F2084969611D}" name="Preventive Maintenance" dataDxfId="32"/>
    <tableColumn id="3" xr3:uid="{85F0AD60-BF69-47D2-AFF1-34092F6496DB}" name="Compliance Rate(%)" dataDxfId="31" dataCellStyle="Percent"/>
    <tableColumn id="4" xr3:uid="{6E6E7A12-52E4-4ED6-A29D-9C861DC1723F}" name="Planned Preventive Maintenance Jobs" dataDxfId="30"/>
    <tableColumn id="5" xr3:uid="{9E7421DD-F6AA-4DD1-8CF6-3676ED27D74D}" name="Completed Preventive Maintenance Jobs" dataDxfId="29"/>
    <tableColumn id="6" xr3:uid="{01699DB9-4349-438B-9F8B-839D4C78B303}" name="PM scheduled Adherence" dataDxfId="28" dataCellStyle="Percent"/>
    <tableColumn id="7" xr3:uid="{EC162FEA-B8D5-42D2-B974-EC17C04E5F4C}" name="Overdue PM tasks" dataDxfId="27"/>
    <tableColumn id="8" xr3:uid="{357212C9-44AF-489F-A00C-5A608C933D9D}" name="Average PM Completion Time(hrs)" dataDxfId="26"/>
    <tableColumn id="9" xr3:uid="{C6B97D46-6FAE-4F78-9C08-4FC7CCAD37D2}" name="Planned Maintenance Cost" dataDxfId="25" dataCellStyle="Currency"/>
    <tableColumn id="10" xr3:uid="{DEAE7344-9925-46AC-B8C6-BE6E8FC48BF5}" name="Actual Maintenance Cost" dataDxfId="24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94B9-6CDF-4B26-A2C6-F5361D9562FB}">
  <dimension ref="A1:J60"/>
  <sheetViews>
    <sheetView zoomScale="54" workbookViewId="0">
      <selection activeCell="D10" sqref="A2:J45"/>
    </sheetView>
  </sheetViews>
  <sheetFormatPr defaultRowHeight="14.4" x14ac:dyDescent="0.3"/>
  <cols>
    <col min="1" max="1" width="13.21875" style="1" customWidth="1"/>
    <col min="2" max="2" width="23.44140625" customWidth="1"/>
    <col min="3" max="3" width="19.77734375" style="9" customWidth="1"/>
    <col min="4" max="4" width="34.88671875" customWidth="1"/>
    <col min="5" max="5" width="37.21875" customWidth="1"/>
    <col min="6" max="6" width="24.33203125" style="9" customWidth="1"/>
    <col min="7" max="7" width="18.109375" customWidth="1"/>
    <col min="8" max="8" width="31.77734375" customWidth="1"/>
    <col min="9" max="9" width="26.33203125" style="7" customWidth="1"/>
    <col min="10" max="10" width="24.77734375" style="7" customWidth="1"/>
  </cols>
  <sheetData>
    <row r="1" spans="1:10" ht="53.4" customHeight="1" x14ac:dyDescent="0.3">
      <c r="A1" s="18" t="s">
        <v>0</v>
      </c>
      <c r="B1" s="19" t="s">
        <v>1</v>
      </c>
      <c r="C1" s="20" t="s">
        <v>2</v>
      </c>
      <c r="D1" s="19" t="s">
        <v>7</v>
      </c>
      <c r="E1" s="19" t="s">
        <v>8</v>
      </c>
      <c r="F1" s="20" t="s">
        <v>3</v>
      </c>
      <c r="G1" s="19" t="s">
        <v>4</v>
      </c>
      <c r="H1" s="19" t="s">
        <v>9</v>
      </c>
      <c r="I1" s="21" t="s">
        <v>5</v>
      </c>
      <c r="J1" s="21" t="s">
        <v>6</v>
      </c>
    </row>
    <row r="2" spans="1:10" x14ac:dyDescent="0.3">
      <c r="A2" s="2">
        <v>46023</v>
      </c>
      <c r="B2" s="3">
        <v>42</v>
      </c>
      <c r="C2" s="22">
        <v>0.94</v>
      </c>
      <c r="D2" s="3">
        <v>45</v>
      </c>
      <c r="E2" s="3">
        <v>42</v>
      </c>
      <c r="F2" s="22">
        <v>0.93</v>
      </c>
      <c r="G2" s="3">
        <v>3</v>
      </c>
      <c r="H2" s="3">
        <v>5.2</v>
      </c>
      <c r="I2" s="23">
        <v>12500</v>
      </c>
      <c r="J2" s="23">
        <v>12900</v>
      </c>
    </row>
    <row r="3" spans="1:10" x14ac:dyDescent="0.3">
      <c r="A3" s="2">
        <v>46024</v>
      </c>
      <c r="B3" s="3">
        <v>38</v>
      </c>
      <c r="C3" s="22">
        <v>0.92</v>
      </c>
      <c r="D3" s="3">
        <v>40</v>
      </c>
      <c r="E3" s="3">
        <v>38</v>
      </c>
      <c r="F3" s="22">
        <v>0.91</v>
      </c>
      <c r="G3" s="3">
        <v>4</v>
      </c>
      <c r="H3" s="3">
        <v>5.5</v>
      </c>
      <c r="I3" s="23">
        <v>11800</v>
      </c>
      <c r="J3" s="23">
        <v>12100</v>
      </c>
    </row>
    <row r="4" spans="1:10" x14ac:dyDescent="0.3">
      <c r="A4" s="2">
        <v>46025</v>
      </c>
      <c r="B4" s="3">
        <v>44</v>
      </c>
      <c r="C4" s="22">
        <v>0.96</v>
      </c>
      <c r="D4" s="3">
        <v>46</v>
      </c>
      <c r="E4" s="3">
        <v>44</v>
      </c>
      <c r="F4" s="22">
        <v>0.95</v>
      </c>
      <c r="G4" s="3">
        <v>2</v>
      </c>
      <c r="H4" s="3">
        <v>4.9000000000000004</v>
      </c>
      <c r="I4" s="23">
        <v>13200</v>
      </c>
      <c r="J4" s="23">
        <v>13000</v>
      </c>
    </row>
    <row r="5" spans="1:10" x14ac:dyDescent="0.3">
      <c r="A5" s="2">
        <v>46026</v>
      </c>
      <c r="B5" s="3">
        <v>41</v>
      </c>
      <c r="C5" s="22">
        <v>0.93</v>
      </c>
      <c r="D5" s="3">
        <v>43</v>
      </c>
      <c r="E5" s="3">
        <v>41</v>
      </c>
      <c r="F5" s="22">
        <v>0.92</v>
      </c>
      <c r="G5" s="3">
        <v>3</v>
      </c>
      <c r="H5" s="3">
        <v>5.3</v>
      </c>
      <c r="I5" s="23">
        <v>12600</v>
      </c>
      <c r="J5" s="23">
        <v>12850</v>
      </c>
    </row>
    <row r="6" spans="1:10" x14ac:dyDescent="0.3">
      <c r="A6" s="2">
        <v>46027</v>
      </c>
      <c r="B6" s="3">
        <v>39</v>
      </c>
      <c r="C6" s="22">
        <v>0.91</v>
      </c>
      <c r="D6" s="3">
        <v>42</v>
      </c>
      <c r="E6" s="3">
        <v>39</v>
      </c>
      <c r="F6" s="22">
        <v>0.9</v>
      </c>
      <c r="G6" s="3">
        <v>5</v>
      </c>
      <c r="H6" s="3">
        <v>5.7</v>
      </c>
      <c r="I6" s="23">
        <v>12000</v>
      </c>
      <c r="J6" s="23">
        <v>12500</v>
      </c>
    </row>
    <row r="7" spans="1:10" x14ac:dyDescent="0.3">
      <c r="A7" s="2">
        <v>46028</v>
      </c>
      <c r="B7" s="3">
        <v>47</v>
      </c>
      <c r="C7" s="22">
        <v>0.97</v>
      </c>
      <c r="D7" s="3">
        <v>48</v>
      </c>
      <c r="E7" s="3">
        <v>47</v>
      </c>
      <c r="F7" s="22">
        <v>0.96</v>
      </c>
      <c r="G7" s="3">
        <v>1</v>
      </c>
      <c r="H7" s="3">
        <v>4.5999999999999996</v>
      </c>
      <c r="I7" s="23">
        <v>13800</v>
      </c>
      <c r="J7" s="23">
        <v>13600</v>
      </c>
    </row>
    <row r="8" spans="1:10" x14ac:dyDescent="0.3">
      <c r="A8" s="2">
        <v>46029</v>
      </c>
      <c r="B8" s="3">
        <v>43</v>
      </c>
      <c r="C8" s="22">
        <v>0.95</v>
      </c>
      <c r="D8" s="3">
        <v>45</v>
      </c>
      <c r="E8" s="3">
        <v>43</v>
      </c>
      <c r="F8" s="22">
        <v>0.94</v>
      </c>
      <c r="G8" s="3">
        <v>2</v>
      </c>
      <c r="H8" s="3">
        <v>5</v>
      </c>
      <c r="I8" s="23">
        <v>13000</v>
      </c>
      <c r="J8" s="23">
        <v>13150</v>
      </c>
    </row>
    <row r="9" spans="1:10" x14ac:dyDescent="0.3">
      <c r="A9" s="2">
        <v>46030</v>
      </c>
      <c r="B9" s="3">
        <v>40</v>
      </c>
      <c r="C9" s="22">
        <v>0.92</v>
      </c>
      <c r="D9" s="3">
        <v>43</v>
      </c>
      <c r="E9" s="3">
        <v>40</v>
      </c>
      <c r="F9" s="22">
        <v>0.91</v>
      </c>
      <c r="G9" s="3">
        <v>4</v>
      </c>
      <c r="H9" s="3">
        <v>5.4</v>
      </c>
      <c r="I9" s="23">
        <v>12400</v>
      </c>
      <c r="J9" s="23">
        <v>12700</v>
      </c>
    </row>
    <row r="10" spans="1:10" x14ac:dyDescent="0.3">
      <c r="A10" s="2">
        <v>46031</v>
      </c>
      <c r="B10" s="3">
        <v>46</v>
      </c>
      <c r="C10" s="22">
        <v>0.97</v>
      </c>
      <c r="D10" s="3">
        <v>47</v>
      </c>
      <c r="E10" s="3">
        <v>46</v>
      </c>
      <c r="F10" s="22">
        <v>0.96</v>
      </c>
      <c r="G10" s="3">
        <v>1</v>
      </c>
      <c r="H10" s="3">
        <v>4.8</v>
      </c>
      <c r="I10" s="23">
        <v>13900</v>
      </c>
      <c r="J10" s="23">
        <v>13750</v>
      </c>
    </row>
    <row r="11" spans="1:10" x14ac:dyDescent="0.3">
      <c r="A11" s="2">
        <v>46032</v>
      </c>
      <c r="B11" s="3">
        <v>42</v>
      </c>
      <c r="C11" s="22">
        <v>0.94</v>
      </c>
      <c r="D11" s="3">
        <v>44</v>
      </c>
      <c r="E11" s="3">
        <v>42</v>
      </c>
      <c r="F11" s="22">
        <v>0.93</v>
      </c>
      <c r="G11" s="3">
        <v>3</v>
      </c>
      <c r="H11" s="3">
        <v>5.0999999999999996</v>
      </c>
      <c r="I11" s="23">
        <v>12700</v>
      </c>
      <c r="J11" s="23">
        <v>12950</v>
      </c>
    </row>
    <row r="12" spans="1:10" x14ac:dyDescent="0.3">
      <c r="A12" s="2">
        <v>46033</v>
      </c>
      <c r="B12" s="3">
        <v>39</v>
      </c>
      <c r="C12" s="22">
        <v>0.91</v>
      </c>
      <c r="D12" s="3">
        <v>41</v>
      </c>
      <c r="E12" s="3">
        <v>39</v>
      </c>
      <c r="F12" s="22">
        <v>0.9</v>
      </c>
      <c r="G12" s="3">
        <v>5</v>
      </c>
      <c r="H12" s="3">
        <v>5.8</v>
      </c>
      <c r="I12" s="23">
        <v>12100</v>
      </c>
      <c r="J12" s="23">
        <v>12600</v>
      </c>
    </row>
    <row r="13" spans="1:10" x14ac:dyDescent="0.3">
      <c r="A13" s="2">
        <v>46034</v>
      </c>
      <c r="B13" s="3">
        <v>45</v>
      </c>
      <c r="C13" s="22">
        <v>0.96</v>
      </c>
      <c r="D13" s="3">
        <v>47</v>
      </c>
      <c r="E13" s="3">
        <v>45</v>
      </c>
      <c r="F13" s="22">
        <v>0.95</v>
      </c>
      <c r="G13" s="3">
        <v>2</v>
      </c>
      <c r="H13" s="3">
        <v>4.7</v>
      </c>
      <c r="I13" s="23">
        <v>13500</v>
      </c>
      <c r="J13" s="23">
        <v>13400</v>
      </c>
    </row>
    <row r="14" spans="1:10" x14ac:dyDescent="0.3">
      <c r="A14" s="2">
        <v>46035</v>
      </c>
      <c r="B14" s="3">
        <v>41</v>
      </c>
      <c r="C14" s="22">
        <v>0.93</v>
      </c>
      <c r="D14" s="3">
        <v>44</v>
      </c>
      <c r="E14" s="3">
        <v>41</v>
      </c>
      <c r="F14" s="22">
        <v>0.92</v>
      </c>
      <c r="G14" s="3">
        <v>3</v>
      </c>
      <c r="H14" s="3">
        <v>5.3</v>
      </c>
      <c r="I14" s="23">
        <v>12600</v>
      </c>
      <c r="J14" s="23">
        <v>12900</v>
      </c>
    </row>
    <row r="15" spans="1:10" x14ac:dyDescent="0.3">
      <c r="A15" s="2">
        <v>46036</v>
      </c>
      <c r="B15" s="3">
        <v>37</v>
      </c>
      <c r="C15" s="22">
        <v>0.9</v>
      </c>
      <c r="D15" s="3">
        <v>41</v>
      </c>
      <c r="E15" s="3">
        <v>37</v>
      </c>
      <c r="F15" s="22">
        <v>0.89</v>
      </c>
      <c r="G15" s="3">
        <v>6</v>
      </c>
      <c r="H15" s="3">
        <v>6</v>
      </c>
      <c r="I15" s="23">
        <v>11900</v>
      </c>
      <c r="J15" s="23">
        <v>12600</v>
      </c>
    </row>
    <row r="16" spans="1:10" x14ac:dyDescent="0.3">
      <c r="A16" s="2">
        <v>46037</v>
      </c>
      <c r="B16" s="3">
        <v>48</v>
      </c>
      <c r="C16" s="22">
        <v>0.98</v>
      </c>
      <c r="D16" s="3">
        <v>49</v>
      </c>
      <c r="E16" s="3">
        <v>48</v>
      </c>
      <c r="F16" s="22">
        <v>0.97</v>
      </c>
      <c r="G16" s="3">
        <v>1</v>
      </c>
      <c r="H16" s="3">
        <v>4.5</v>
      </c>
      <c r="I16" s="23">
        <v>14200</v>
      </c>
      <c r="J16" s="23">
        <v>14000</v>
      </c>
    </row>
    <row r="17" spans="1:10" x14ac:dyDescent="0.3">
      <c r="A17" s="2">
        <v>46038</v>
      </c>
      <c r="B17" s="3">
        <v>44</v>
      </c>
      <c r="C17" s="22">
        <v>0.95</v>
      </c>
      <c r="D17" s="3">
        <v>46</v>
      </c>
      <c r="E17" s="3">
        <v>44</v>
      </c>
      <c r="F17" s="22">
        <v>0.94</v>
      </c>
      <c r="G17" s="3">
        <v>2</v>
      </c>
      <c r="H17" s="3">
        <v>5</v>
      </c>
      <c r="I17" s="23">
        <v>13100</v>
      </c>
      <c r="J17" s="23">
        <v>13250</v>
      </c>
    </row>
    <row r="18" spans="1:10" x14ac:dyDescent="0.3">
      <c r="A18" s="2">
        <v>46039</v>
      </c>
      <c r="B18" s="3">
        <v>40</v>
      </c>
      <c r="C18" s="22">
        <v>0.92</v>
      </c>
      <c r="D18" s="3">
        <v>43</v>
      </c>
      <c r="E18" s="3">
        <v>40</v>
      </c>
      <c r="F18" s="22">
        <v>0.91</v>
      </c>
      <c r="G18" s="3">
        <v>4</v>
      </c>
      <c r="H18" s="3">
        <v>5.4</v>
      </c>
      <c r="I18" s="23">
        <v>12500</v>
      </c>
      <c r="J18" s="23">
        <v>12800</v>
      </c>
    </row>
    <row r="19" spans="1:10" x14ac:dyDescent="0.3">
      <c r="A19" s="2">
        <v>46040</v>
      </c>
      <c r="B19" s="3">
        <v>46</v>
      </c>
      <c r="C19" s="22">
        <v>0.97</v>
      </c>
      <c r="D19" s="3">
        <v>47</v>
      </c>
      <c r="E19" s="3">
        <v>46</v>
      </c>
      <c r="F19" s="22">
        <v>0.96</v>
      </c>
      <c r="G19" s="3">
        <v>1</v>
      </c>
      <c r="H19" s="3">
        <v>4.7</v>
      </c>
      <c r="I19" s="23">
        <v>13800</v>
      </c>
      <c r="J19" s="23">
        <v>13700</v>
      </c>
    </row>
    <row r="20" spans="1:10" x14ac:dyDescent="0.3">
      <c r="A20" s="2">
        <v>46041</v>
      </c>
      <c r="B20" s="3">
        <v>42</v>
      </c>
      <c r="C20" s="22">
        <v>0.94</v>
      </c>
      <c r="D20" s="3">
        <v>44</v>
      </c>
      <c r="E20" s="3">
        <v>42</v>
      </c>
      <c r="F20" s="22">
        <v>0.93</v>
      </c>
      <c r="G20" s="3">
        <v>3</v>
      </c>
      <c r="H20" s="3">
        <v>5.2</v>
      </c>
      <c r="I20" s="23">
        <v>12700</v>
      </c>
      <c r="J20" s="23">
        <v>12950</v>
      </c>
    </row>
    <row r="21" spans="1:10" x14ac:dyDescent="0.3">
      <c r="A21" s="2">
        <v>46042</v>
      </c>
      <c r="B21" s="3">
        <v>38</v>
      </c>
      <c r="C21" s="22">
        <v>0.91</v>
      </c>
      <c r="D21" s="3">
        <v>41</v>
      </c>
      <c r="E21" s="3">
        <v>38</v>
      </c>
      <c r="F21" s="22">
        <v>0.9</v>
      </c>
      <c r="G21" s="3">
        <v>5</v>
      </c>
      <c r="H21" s="3">
        <v>5.7</v>
      </c>
      <c r="I21" s="23">
        <v>12000</v>
      </c>
      <c r="J21" s="23">
        <v>12450</v>
      </c>
    </row>
    <row r="22" spans="1:10" x14ac:dyDescent="0.3">
      <c r="A22" s="2">
        <v>46043</v>
      </c>
      <c r="B22" s="3">
        <v>45</v>
      </c>
      <c r="C22" s="22">
        <v>0.96</v>
      </c>
      <c r="D22" s="3">
        <v>47</v>
      </c>
      <c r="E22" s="3">
        <v>45</v>
      </c>
      <c r="F22" s="22">
        <v>0.95</v>
      </c>
      <c r="G22" s="3">
        <v>2</v>
      </c>
      <c r="H22" s="3">
        <v>4.8</v>
      </c>
      <c r="I22" s="23">
        <v>13600</v>
      </c>
      <c r="J22" s="23">
        <v>13450</v>
      </c>
    </row>
    <row r="23" spans="1:10" x14ac:dyDescent="0.3">
      <c r="A23" s="2">
        <v>46044</v>
      </c>
      <c r="B23" s="3">
        <v>41</v>
      </c>
      <c r="C23" s="22">
        <v>0.93</v>
      </c>
      <c r="D23" s="3">
        <v>44</v>
      </c>
      <c r="E23" s="3">
        <v>41</v>
      </c>
      <c r="F23" s="22">
        <v>0.92</v>
      </c>
      <c r="G23" s="3">
        <v>3</v>
      </c>
      <c r="H23" s="3">
        <v>5.3</v>
      </c>
      <c r="I23" s="23">
        <v>12600</v>
      </c>
      <c r="J23" s="23">
        <v>12900</v>
      </c>
    </row>
    <row r="24" spans="1:10" x14ac:dyDescent="0.3">
      <c r="A24" s="2">
        <v>46045</v>
      </c>
      <c r="B24" s="3">
        <v>39</v>
      </c>
      <c r="C24" s="22">
        <v>0.91</v>
      </c>
      <c r="D24" s="3">
        <v>42</v>
      </c>
      <c r="E24" s="3">
        <v>39</v>
      </c>
      <c r="F24" s="22">
        <v>0.9</v>
      </c>
      <c r="G24" s="3">
        <v>5</v>
      </c>
      <c r="H24" s="3">
        <v>5.6</v>
      </c>
      <c r="I24" s="23">
        <v>12100</v>
      </c>
      <c r="J24" s="23">
        <v>12550</v>
      </c>
    </row>
    <row r="25" spans="1:10" x14ac:dyDescent="0.3">
      <c r="A25" s="2">
        <v>46046</v>
      </c>
      <c r="B25" s="3">
        <v>47</v>
      </c>
      <c r="C25" s="22">
        <v>0.97</v>
      </c>
      <c r="D25" s="3">
        <v>48</v>
      </c>
      <c r="E25" s="3">
        <v>47</v>
      </c>
      <c r="F25" s="22">
        <v>0.96</v>
      </c>
      <c r="G25" s="3">
        <v>1</v>
      </c>
      <c r="H25" s="3">
        <v>4.5999999999999996</v>
      </c>
      <c r="I25" s="23">
        <v>13900</v>
      </c>
      <c r="J25" s="23">
        <v>13800</v>
      </c>
    </row>
    <row r="26" spans="1:10" x14ac:dyDescent="0.3">
      <c r="A26" s="2">
        <v>46047</v>
      </c>
      <c r="B26" s="3">
        <v>43</v>
      </c>
      <c r="C26" s="22">
        <v>0.95</v>
      </c>
      <c r="D26" s="3">
        <v>45</v>
      </c>
      <c r="E26" s="3">
        <v>43</v>
      </c>
      <c r="F26" s="22">
        <v>0.94</v>
      </c>
      <c r="G26" s="3">
        <v>2</v>
      </c>
      <c r="H26" s="3">
        <v>5</v>
      </c>
      <c r="I26" s="23">
        <v>13000</v>
      </c>
      <c r="J26" s="23">
        <v>13200</v>
      </c>
    </row>
    <row r="27" spans="1:10" x14ac:dyDescent="0.3">
      <c r="A27" s="2">
        <v>46048</v>
      </c>
      <c r="B27" s="3">
        <v>40</v>
      </c>
      <c r="C27" s="22">
        <v>0.92</v>
      </c>
      <c r="D27" s="3">
        <v>43</v>
      </c>
      <c r="E27" s="3">
        <v>40</v>
      </c>
      <c r="F27" s="22">
        <v>0.91</v>
      </c>
      <c r="G27" s="3">
        <v>4</v>
      </c>
      <c r="H27" s="3">
        <v>5.4</v>
      </c>
      <c r="I27" s="23">
        <v>12400</v>
      </c>
      <c r="J27" s="23">
        <v>12750</v>
      </c>
    </row>
    <row r="28" spans="1:10" x14ac:dyDescent="0.3">
      <c r="A28" s="2">
        <v>46049</v>
      </c>
      <c r="B28" s="3">
        <v>46</v>
      </c>
      <c r="C28" s="22">
        <v>0.97</v>
      </c>
      <c r="D28" s="3">
        <v>47</v>
      </c>
      <c r="E28" s="3">
        <v>46</v>
      </c>
      <c r="F28" s="22">
        <v>0.96</v>
      </c>
      <c r="G28" s="3">
        <v>1</v>
      </c>
      <c r="H28" s="3">
        <v>4.7</v>
      </c>
      <c r="I28" s="23">
        <v>13850</v>
      </c>
      <c r="J28" s="23">
        <v>13700</v>
      </c>
    </row>
    <row r="29" spans="1:10" x14ac:dyDescent="0.3">
      <c r="A29" s="2">
        <v>46050</v>
      </c>
      <c r="B29" s="3">
        <v>42</v>
      </c>
      <c r="C29" s="22">
        <v>0.94</v>
      </c>
      <c r="D29" s="3">
        <v>44</v>
      </c>
      <c r="E29" s="3">
        <v>42</v>
      </c>
      <c r="F29" s="22">
        <v>0.93</v>
      </c>
      <c r="G29" s="3">
        <v>3</v>
      </c>
      <c r="H29" s="3">
        <v>5.0999999999999996</v>
      </c>
      <c r="I29" s="23">
        <v>12700</v>
      </c>
      <c r="J29" s="23">
        <v>12950</v>
      </c>
    </row>
    <row r="30" spans="1:10" x14ac:dyDescent="0.3">
      <c r="A30" s="2">
        <v>46051</v>
      </c>
      <c r="B30" s="3">
        <v>38</v>
      </c>
      <c r="C30" s="22">
        <v>0.91</v>
      </c>
      <c r="D30" s="3">
        <v>41</v>
      </c>
      <c r="E30" s="3">
        <v>38</v>
      </c>
      <c r="F30" s="22">
        <v>0.9</v>
      </c>
      <c r="G30" s="3">
        <v>5</v>
      </c>
      <c r="H30" s="3">
        <v>5.8</v>
      </c>
      <c r="I30" s="23">
        <v>12000</v>
      </c>
      <c r="J30" s="23">
        <v>12600</v>
      </c>
    </row>
    <row r="31" spans="1:10" x14ac:dyDescent="0.3">
      <c r="A31" s="2">
        <v>46052</v>
      </c>
      <c r="B31" s="3">
        <v>48</v>
      </c>
      <c r="C31" s="22">
        <v>0.98</v>
      </c>
      <c r="D31" s="3">
        <v>49</v>
      </c>
      <c r="E31" s="3">
        <v>48</v>
      </c>
      <c r="F31" s="22">
        <v>0.97</v>
      </c>
      <c r="G31" s="3">
        <v>1</v>
      </c>
      <c r="H31" s="3">
        <v>4.4000000000000004</v>
      </c>
      <c r="I31" s="23">
        <v>14200</v>
      </c>
      <c r="J31" s="23">
        <v>14050</v>
      </c>
    </row>
    <row r="32" spans="1:10" x14ac:dyDescent="0.3">
      <c r="A32" s="2">
        <v>46053</v>
      </c>
      <c r="B32" s="3">
        <v>44</v>
      </c>
      <c r="C32" s="22">
        <v>0.95</v>
      </c>
      <c r="D32" s="3">
        <v>46</v>
      </c>
      <c r="E32" s="3">
        <v>44</v>
      </c>
      <c r="F32" s="22">
        <v>0.94</v>
      </c>
      <c r="G32" s="3">
        <v>2</v>
      </c>
      <c r="H32" s="3">
        <v>5</v>
      </c>
      <c r="I32" s="23">
        <v>13100</v>
      </c>
      <c r="J32" s="23">
        <v>13250</v>
      </c>
    </row>
    <row r="33" spans="1:10" x14ac:dyDescent="0.3">
      <c r="A33" s="2">
        <v>46054</v>
      </c>
      <c r="B33" s="3">
        <v>41</v>
      </c>
      <c r="C33" s="22">
        <v>0.93</v>
      </c>
      <c r="D33" s="3">
        <v>44</v>
      </c>
      <c r="E33" s="3">
        <v>41</v>
      </c>
      <c r="F33" s="22">
        <v>0.92</v>
      </c>
      <c r="G33" s="3">
        <v>3</v>
      </c>
      <c r="H33" s="3">
        <v>5.3</v>
      </c>
      <c r="I33" s="23">
        <v>12600</v>
      </c>
      <c r="J33" s="23">
        <v>12850</v>
      </c>
    </row>
    <row r="34" spans="1:10" x14ac:dyDescent="0.3">
      <c r="A34" s="2">
        <v>46055</v>
      </c>
      <c r="B34" s="3">
        <v>39</v>
      </c>
      <c r="C34" s="22">
        <v>0.91</v>
      </c>
      <c r="D34" s="3">
        <v>42</v>
      </c>
      <c r="E34" s="3">
        <v>39</v>
      </c>
      <c r="F34" s="22">
        <v>0.9</v>
      </c>
      <c r="G34" s="3">
        <v>5</v>
      </c>
      <c r="H34" s="3">
        <v>5.6</v>
      </c>
      <c r="I34" s="23">
        <v>12100</v>
      </c>
      <c r="J34" s="23">
        <v>12550</v>
      </c>
    </row>
    <row r="35" spans="1:10" x14ac:dyDescent="0.3">
      <c r="A35" s="2">
        <v>46056</v>
      </c>
      <c r="B35" s="3">
        <v>45</v>
      </c>
      <c r="C35" s="22">
        <v>0.96</v>
      </c>
      <c r="D35" s="3">
        <v>47</v>
      </c>
      <c r="E35" s="3">
        <v>45</v>
      </c>
      <c r="F35" s="22">
        <v>0.95</v>
      </c>
      <c r="G35" s="3">
        <v>2</v>
      </c>
      <c r="H35" s="3">
        <v>4.8</v>
      </c>
      <c r="I35" s="23">
        <v>13500</v>
      </c>
      <c r="J35" s="23">
        <v>13400</v>
      </c>
    </row>
    <row r="36" spans="1:10" x14ac:dyDescent="0.3">
      <c r="A36" s="2">
        <v>46057</v>
      </c>
      <c r="B36" s="3">
        <v>42</v>
      </c>
      <c r="C36" s="22">
        <v>0.94</v>
      </c>
      <c r="D36" s="3">
        <v>45</v>
      </c>
      <c r="E36" s="3">
        <v>42</v>
      </c>
      <c r="F36" s="22">
        <v>0.93</v>
      </c>
      <c r="G36" s="3">
        <v>3</v>
      </c>
      <c r="H36" s="3">
        <v>5.2</v>
      </c>
      <c r="I36" s="23">
        <v>12700</v>
      </c>
      <c r="J36" s="23">
        <v>12950</v>
      </c>
    </row>
    <row r="37" spans="1:10" x14ac:dyDescent="0.3">
      <c r="A37" s="2">
        <v>46058</v>
      </c>
      <c r="B37" s="3">
        <v>37</v>
      </c>
      <c r="C37" s="22">
        <v>0.9</v>
      </c>
      <c r="D37" s="3">
        <v>41</v>
      </c>
      <c r="E37" s="3">
        <v>37</v>
      </c>
      <c r="F37" s="22">
        <v>0.89</v>
      </c>
      <c r="G37" s="3">
        <v>6</v>
      </c>
      <c r="H37" s="3">
        <v>6.1</v>
      </c>
      <c r="I37" s="23">
        <v>11900</v>
      </c>
      <c r="J37" s="23">
        <v>12700</v>
      </c>
    </row>
    <row r="38" spans="1:10" x14ac:dyDescent="0.3">
      <c r="A38" s="2">
        <v>46059</v>
      </c>
      <c r="B38" s="3">
        <v>47</v>
      </c>
      <c r="C38" s="22">
        <v>0.97</v>
      </c>
      <c r="D38" s="3">
        <v>48</v>
      </c>
      <c r="E38" s="3">
        <v>47</v>
      </c>
      <c r="F38" s="22">
        <v>0.96</v>
      </c>
      <c r="G38" s="3">
        <v>1</v>
      </c>
      <c r="H38" s="3">
        <v>4.5999999999999996</v>
      </c>
      <c r="I38" s="23">
        <v>13900</v>
      </c>
      <c r="J38" s="23">
        <v>13800</v>
      </c>
    </row>
    <row r="39" spans="1:10" x14ac:dyDescent="0.3">
      <c r="A39" s="2">
        <v>46060</v>
      </c>
      <c r="B39" s="3">
        <v>43</v>
      </c>
      <c r="C39" s="22">
        <v>0.95</v>
      </c>
      <c r="D39" s="3">
        <v>45</v>
      </c>
      <c r="E39" s="3">
        <v>43</v>
      </c>
      <c r="F39" s="22">
        <v>0.94</v>
      </c>
      <c r="G39" s="3">
        <v>2</v>
      </c>
      <c r="H39" s="3">
        <v>5</v>
      </c>
      <c r="I39" s="23">
        <v>13000</v>
      </c>
      <c r="J39" s="23">
        <v>13200</v>
      </c>
    </row>
    <row r="40" spans="1:10" x14ac:dyDescent="0.3">
      <c r="A40" s="2">
        <v>46061</v>
      </c>
      <c r="B40" s="3">
        <v>40</v>
      </c>
      <c r="C40" s="22">
        <v>0.92</v>
      </c>
      <c r="D40" s="3">
        <v>43</v>
      </c>
      <c r="E40" s="3">
        <v>40</v>
      </c>
      <c r="F40" s="22">
        <v>0.91</v>
      </c>
      <c r="G40" s="3">
        <v>4</v>
      </c>
      <c r="H40" s="3">
        <v>5.4</v>
      </c>
      <c r="I40" s="23">
        <v>12400</v>
      </c>
      <c r="J40" s="23">
        <v>12750</v>
      </c>
    </row>
    <row r="41" spans="1:10" x14ac:dyDescent="0.3">
      <c r="A41" s="2">
        <v>46062</v>
      </c>
      <c r="B41" s="3">
        <v>46</v>
      </c>
      <c r="C41" s="22">
        <v>0.97</v>
      </c>
      <c r="D41" s="3">
        <v>47</v>
      </c>
      <c r="E41" s="3">
        <v>46</v>
      </c>
      <c r="F41" s="22">
        <v>0.96</v>
      </c>
      <c r="G41" s="3">
        <v>1</v>
      </c>
      <c r="H41" s="3">
        <v>4.7</v>
      </c>
      <c r="I41" s="23">
        <v>13850</v>
      </c>
      <c r="J41" s="23">
        <v>13700</v>
      </c>
    </row>
    <row r="42" spans="1:10" x14ac:dyDescent="0.3">
      <c r="A42" s="2">
        <v>46063</v>
      </c>
      <c r="B42" s="3">
        <v>42</v>
      </c>
      <c r="C42" s="22">
        <v>0.94</v>
      </c>
      <c r="D42" s="3">
        <v>44</v>
      </c>
      <c r="E42" s="3">
        <v>42</v>
      </c>
      <c r="F42" s="22">
        <v>0.93</v>
      </c>
      <c r="G42" s="3">
        <v>3</v>
      </c>
      <c r="H42" s="3">
        <v>5.0999999999999996</v>
      </c>
      <c r="I42" s="23">
        <v>12700</v>
      </c>
      <c r="J42" s="23">
        <v>12950</v>
      </c>
    </row>
    <row r="43" spans="1:10" x14ac:dyDescent="0.3">
      <c r="A43" s="2">
        <v>46064</v>
      </c>
      <c r="B43" s="3">
        <v>38</v>
      </c>
      <c r="C43" s="22">
        <v>0.91</v>
      </c>
      <c r="D43" s="3">
        <v>41</v>
      </c>
      <c r="E43" s="3">
        <v>38</v>
      </c>
      <c r="F43" s="22">
        <v>0.9</v>
      </c>
      <c r="G43" s="3">
        <v>5</v>
      </c>
      <c r="H43" s="3">
        <v>5.8</v>
      </c>
      <c r="I43" s="23">
        <v>12000</v>
      </c>
      <c r="J43" s="23">
        <v>12600</v>
      </c>
    </row>
    <row r="44" spans="1:10" x14ac:dyDescent="0.3">
      <c r="A44" s="2">
        <v>46065</v>
      </c>
      <c r="B44" s="3">
        <v>48</v>
      </c>
      <c r="C44" s="22">
        <v>0.98</v>
      </c>
      <c r="D44" s="3">
        <v>49</v>
      </c>
      <c r="E44" s="3">
        <v>48</v>
      </c>
      <c r="F44" s="22">
        <v>0.97</v>
      </c>
      <c r="G44" s="3">
        <v>1</v>
      </c>
      <c r="H44" s="3">
        <v>4.5</v>
      </c>
      <c r="I44" s="23">
        <v>14200</v>
      </c>
      <c r="J44" s="23">
        <v>14050</v>
      </c>
    </row>
    <row r="45" spans="1:10" x14ac:dyDescent="0.3">
      <c r="A45" s="2">
        <v>46066</v>
      </c>
      <c r="B45" s="3">
        <v>44</v>
      </c>
      <c r="C45" s="22">
        <v>0.95</v>
      </c>
      <c r="D45" s="3">
        <v>46</v>
      </c>
      <c r="E45" s="3">
        <v>44</v>
      </c>
      <c r="F45" s="22">
        <v>0.94</v>
      </c>
      <c r="G45" s="3">
        <v>2</v>
      </c>
      <c r="H45" s="3">
        <v>5</v>
      </c>
      <c r="I45" s="23">
        <v>13100</v>
      </c>
      <c r="J45" s="23">
        <v>13250</v>
      </c>
    </row>
    <row r="46" spans="1:10" x14ac:dyDescent="0.3">
      <c r="A46" s="2"/>
      <c r="B46" s="3"/>
      <c r="C46" s="8"/>
      <c r="D46" s="3"/>
      <c r="E46" s="5"/>
      <c r="F46" s="8"/>
      <c r="G46" s="3"/>
      <c r="H46" s="3"/>
      <c r="I46" s="6"/>
    </row>
    <row r="47" spans="1:10" x14ac:dyDescent="0.3">
      <c r="A47" s="2"/>
      <c r="B47" s="3"/>
      <c r="C47" s="8"/>
      <c r="D47" s="3"/>
      <c r="E47" s="5"/>
      <c r="F47" s="8"/>
      <c r="G47" s="3"/>
      <c r="H47" s="3"/>
      <c r="I47" s="6"/>
    </row>
    <row r="48" spans="1:10" x14ac:dyDescent="0.3">
      <c r="A48" s="2"/>
      <c r="B48" s="3"/>
      <c r="C48" s="8"/>
      <c r="D48" s="3"/>
      <c r="E48" s="5"/>
      <c r="F48" s="8"/>
      <c r="G48" s="3"/>
      <c r="H48" s="3"/>
      <c r="I48" s="6"/>
    </row>
    <row r="49" spans="1:9" x14ac:dyDescent="0.3">
      <c r="A49" s="2"/>
      <c r="B49" s="3"/>
      <c r="C49" s="8"/>
      <c r="D49" s="3"/>
      <c r="E49" s="5"/>
      <c r="F49" s="8"/>
      <c r="G49" s="3"/>
      <c r="H49" s="3"/>
      <c r="I49" s="6"/>
    </row>
    <row r="50" spans="1:9" x14ac:dyDescent="0.3">
      <c r="A50" s="2"/>
      <c r="B50" s="3"/>
      <c r="C50" s="8"/>
      <c r="D50" s="3"/>
      <c r="E50" s="5"/>
      <c r="F50" s="8"/>
      <c r="G50" s="3"/>
      <c r="H50" s="3"/>
      <c r="I50" s="6"/>
    </row>
    <row r="51" spans="1:9" x14ac:dyDescent="0.3">
      <c r="A51" s="2"/>
      <c r="B51" s="3"/>
      <c r="C51" s="8"/>
      <c r="D51" s="3"/>
      <c r="E51" s="5"/>
      <c r="F51" s="8"/>
      <c r="G51" s="3"/>
      <c r="H51" s="3"/>
      <c r="I51" s="6"/>
    </row>
    <row r="52" spans="1:9" x14ac:dyDescent="0.3">
      <c r="A52" s="2"/>
      <c r="B52" s="3"/>
      <c r="C52" s="8"/>
      <c r="D52" s="3"/>
      <c r="E52" s="5"/>
      <c r="F52" s="8"/>
      <c r="G52" s="3"/>
      <c r="H52" s="3"/>
      <c r="I52" s="6"/>
    </row>
    <row r="53" spans="1:9" x14ac:dyDescent="0.3">
      <c r="A53" s="2"/>
      <c r="B53" s="3"/>
      <c r="C53" s="8"/>
      <c r="D53" s="3"/>
      <c r="E53" s="5"/>
      <c r="F53" s="8"/>
      <c r="G53" s="3"/>
      <c r="H53" s="3"/>
      <c r="I53" s="6"/>
    </row>
    <row r="54" spans="1:9" x14ac:dyDescent="0.3">
      <c r="A54" s="2"/>
      <c r="B54" s="3"/>
      <c r="C54" s="8"/>
      <c r="D54" s="3"/>
      <c r="E54" s="5"/>
      <c r="F54" s="8"/>
      <c r="G54" s="3"/>
      <c r="H54" s="3"/>
      <c r="I54" s="6"/>
    </row>
    <row r="55" spans="1:9" x14ac:dyDescent="0.3">
      <c r="A55" s="2"/>
      <c r="B55" s="3"/>
      <c r="C55" s="8"/>
      <c r="D55" s="3"/>
      <c r="E55" s="5"/>
      <c r="F55" s="8"/>
      <c r="G55" s="3"/>
      <c r="H55" s="3"/>
      <c r="I55" s="6"/>
    </row>
    <row r="56" spans="1:9" x14ac:dyDescent="0.3">
      <c r="A56" s="2"/>
      <c r="B56" s="3"/>
      <c r="C56" s="8"/>
      <c r="D56" s="3"/>
      <c r="E56" s="5"/>
      <c r="F56" s="8"/>
      <c r="G56" s="3"/>
      <c r="H56" s="3"/>
      <c r="I56" s="6"/>
    </row>
    <row r="57" spans="1:9" x14ac:dyDescent="0.3">
      <c r="A57" s="2"/>
      <c r="B57" s="3"/>
      <c r="C57" s="8"/>
      <c r="D57" s="3"/>
      <c r="E57" s="5"/>
      <c r="F57" s="8"/>
      <c r="G57" s="3"/>
      <c r="H57" s="3"/>
      <c r="I57" s="6"/>
    </row>
    <row r="58" spans="1:9" x14ac:dyDescent="0.3">
      <c r="A58" s="2"/>
      <c r="B58" s="3"/>
      <c r="C58" s="8"/>
      <c r="D58" s="3"/>
      <c r="E58" s="5"/>
      <c r="F58" s="8"/>
      <c r="G58" s="3"/>
      <c r="H58" s="3"/>
      <c r="I58" s="6"/>
    </row>
    <row r="59" spans="1:9" x14ac:dyDescent="0.3">
      <c r="A59" s="2"/>
      <c r="B59" s="3"/>
      <c r="C59" s="8"/>
      <c r="D59" s="3"/>
      <c r="E59" s="5"/>
      <c r="F59" s="8"/>
      <c r="G59" s="3"/>
      <c r="H59" s="3"/>
      <c r="I59" s="6"/>
    </row>
    <row r="60" spans="1:9" x14ac:dyDescent="0.3">
      <c r="A60" s="2"/>
      <c r="B60" s="3"/>
      <c r="C60" s="8"/>
      <c r="D60" s="3"/>
      <c r="E60" s="5"/>
      <c r="F60" s="8"/>
      <c r="G60" s="3"/>
      <c r="H60" s="3"/>
      <c r="I6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AEC7-0175-4FD2-9320-522265172536}">
  <dimension ref="B2:L64"/>
  <sheetViews>
    <sheetView topLeftCell="E1" zoomScale="43" zoomScaleNormal="80" workbookViewId="0">
      <selection activeCell="D31" sqref="D31"/>
    </sheetView>
  </sheetViews>
  <sheetFormatPr defaultRowHeight="14.4" x14ac:dyDescent="0.3"/>
  <cols>
    <col min="2" max="2" width="40.77734375" bestFit="1" customWidth="1"/>
    <col min="3" max="3" width="43.21875" bestFit="1" customWidth="1"/>
    <col min="4" max="4" width="33" bestFit="1" customWidth="1"/>
    <col min="5" max="5" width="23.21875" bestFit="1" customWidth="1"/>
    <col min="6" max="6" width="30.77734375" bestFit="1" customWidth="1"/>
    <col min="7" max="7" width="29.21875" bestFit="1" customWidth="1"/>
    <col min="8" max="8" width="57.6640625" bestFit="1" customWidth="1"/>
    <col min="9" max="9" width="56.21875" bestFit="1" customWidth="1"/>
    <col min="10" max="10" width="26.6640625" bestFit="1" customWidth="1"/>
    <col min="11" max="11" width="21.44140625" bestFit="1" customWidth="1"/>
    <col min="12" max="12" width="30.5546875" bestFit="1" customWidth="1"/>
  </cols>
  <sheetData>
    <row r="2" spans="2:12" x14ac:dyDescent="0.3">
      <c r="B2" t="s">
        <v>10</v>
      </c>
      <c r="F2" s="12" t="s">
        <v>16</v>
      </c>
      <c r="G2" s="11" t="s">
        <v>10</v>
      </c>
      <c r="J2" s="15" t="s">
        <v>16</v>
      </c>
      <c r="K2" t="s">
        <v>24</v>
      </c>
      <c r="L2" t="s">
        <v>25</v>
      </c>
    </row>
    <row r="3" spans="2:12" x14ac:dyDescent="0.3">
      <c r="F3" s="13" t="s">
        <v>26</v>
      </c>
      <c r="G3" s="17">
        <v>0.9375</v>
      </c>
      <c r="J3" s="16" t="s">
        <v>26</v>
      </c>
      <c r="K3" s="11">
        <v>101300</v>
      </c>
      <c r="L3" s="11">
        <v>102800</v>
      </c>
    </row>
    <row r="4" spans="2:12" x14ac:dyDescent="0.3">
      <c r="F4" s="13" t="s">
        <v>37</v>
      </c>
      <c r="G4" s="17">
        <v>0.9425</v>
      </c>
      <c r="J4" s="16" t="s">
        <v>27</v>
      </c>
      <c r="K4" s="11">
        <v>104000</v>
      </c>
      <c r="L4" s="11">
        <v>105450</v>
      </c>
    </row>
    <row r="5" spans="2:12" x14ac:dyDescent="0.3">
      <c r="F5" s="13" t="s">
        <v>28</v>
      </c>
      <c r="G5" s="17">
        <v>0.93874999999999997</v>
      </c>
      <c r="J5" s="16" t="s">
        <v>28</v>
      </c>
      <c r="K5" s="11">
        <v>103200</v>
      </c>
      <c r="L5" s="11">
        <v>104600</v>
      </c>
    </row>
    <row r="6" spans="2:12" x14ac:dyDescent="0.3">
      <c r="B6" s="4" t="s">
        <v>11</v>
      </c>
      <c r="F6" s="13" t="s">
        <v>34</v>
      </c>
      <c r="G6" s="17">
        <v>0.94374999999999998</v>
      </c>
      <c r="J6" s="16" t="s">
        <v>34</v>
      </c>
      <c r="K6" s="11">
        <v>103850</v>
      </c>
      <c r="L6" s="11">
        <v>105350</v>
      </c>
    </row>
    <row r="7" spans="2:12" x14ac:dyDescent="0.3">
      <c r="B7" s="10"/>
      <c r="F7" s="13" t="s">
        <v>35</v>
      </c>
      <c r="G7" s="17">
        <v>0.94</v>
      </c>
      <c r="J7" s="16" t="s">
        <v>35</v>
      </c>
      <c r="K7" s="11">
        <v>103350</v>
      </c>
      <c r="L7" s="11">
        <v>105050</v>
      </c>
    </row>
    <row r="8" spans="2:12" x14ac:dyDescent="0.3">
      <c r="F8" s="13" t="s">
        <v>36</v>
      </c>
      <c r="G8" s="17">
        <v>0.94500000000000006</v>
      </c>
      <c r="J8" s="16" t="s">
        <v>36</v>
      </c>
      <c r="K8" s="11">
        <v>52000</v>
      </c>
      <c r="L8" s="11">
        <v>52850</v>
      </c>
    </row>
    <row r="9" spans="2:12" x14ac:dyDescent="0.3">
      <c r="B9" t="s">
        <v>12</v>
      </c>
      <c r="F9" s="13" t="s">
        <v>17</v>
      </c>
      <c r="G9" s="14">
        <v>0.94090909090909092</v>
      </c>
      <c r="J9" s="16" t="s">
        <v>17</v>
      </c>
      <c r="K9" s="11">
        <v>567700</v>
      </c>
      <c r="L9" s="11">
        <v>576100</v>
      </c>
    </row>
    <row r="10" spans="2:12" x14ac:dyDescent="0.3">
      <c r="B10" s="10"/>
    </row>
    <row r="12" spans="2:12" x14ac:dyDescent="0.3">
      <c r="B12" s="11" t="s">
        <v>13</v>
      </c>
    </row>
    <row r="13" spans="2:12" x14ac:dyDescent="0.3">
      <c r="B13" s="11"/>
    </row>
    <row r="15" spans="2:12" x14ac:dyDescent="0.3">
      <c r="B15" s="11" t="s">
        <v>14</v>
      </c>
    </row>
    <row r="19" spans="2:11" x14ac:dyDescent="0.3">
      <c r="B19" s="12" t="s">
        <v>16</v>
      </c>
      <c r="C19" s="11" t="s">
        <v>15</v>
      </c>
      <c r="D19" s="11" t="s">
        <v>11</v>
      </c>
      <c r="E19" s="11" t="s">
        <v>14</v>
      </c>
    </row>
    <row r="20" spans="2:11" x14ac:dyDescent="0.3">
      <c r="B20" s="13" t="s">
        <v>18</v>
      </c>
      <c r="C20">
        <v>334</v>
      </c>
      <c r="D20">
        <v>24</v>
      </c>
      <c r="E20">
        <v>352</v>
      </c>
    </row>
    <row r="21" spans="2:11" x14ac:dyDescent="0.3">
      <c r="B21" s="13" t="s">
        <v>19</v>
      </c>
      <c r="C21">
        <v>342</v>
      </c>
      <c r="D21">
        <v>23</v>
      </c>
      <c r="E21">
        <v>359</v>
      </c>
    </row>
    <row r="22" spans="2:11" x14ac:dyDescent="0.3">
      <c r="B22" s="13" t="s">
        <v>20</v>
      </c>
      <c r="C22">
        <v>338</v>
      </c>
      <c r="D22">
        <v>24</v>
      </c>
      <c r="E22">
        <v>356</v>
      </c>
    </row>
    <row r="23" spans="2:11" x14ac:dyDescent="0.3">
      <c r="B23" s="13" t="s">
        <v>21</v>
      </c>
      <c r="C23">
        <v>342</v>
      </c>
      <c r="D23">
        <v>21</v>
      </c>
      <c r="E23">
        <v>359</v>
      </c>
    </row>
    <row r="24" spans="2:11" x14ac:dyDescent="0.3">
      <c r="B24" s="13" t="s">
        <v>22</v>
      </c>
      <c r="C24">
        <v>339</v>
      </c>
      <c r="D24">
        <v>24</v>
      </c>
      <c r="E24">
        <v>358</v>
      </c>
    </row>
    <row r="25" spans="2:11" x14ac:dyDescent="0.3">
      <c r="B25" s="13" t="s">
        <v>23</v>
      </c>
      <c r="C25">
        <v>172</v>
      </c>
      <c r="D25">
        <v>11</v>
      </c>
      <c r="E25">
        <v>180</v>
      </c>
    </row>
    <row r="26" spans="2:11" x14ac:dyDescent="0.3">
      <c r="B26" s="13" t="s">
        <v>17</v>
      </c>
      <c r="C26">
        <v>1867</v>
      </c>
      <c r="D26">
        <v>127</v>
      </c>
      <c r="E26">
        <v>1964</v>
      </c>
    </row>
    <row r="28" spans="2:11" x14ac:dyDescent="0.3">
      <c r="J28" s="15" t="s">
        <v>16</v>
      </c>
      <c r="K28" t="s">
        <v>11</v>
      </c>
    </row>
    <row r="29" spans="2:11" x14ac:dyDescent="0.3">
      <c r="J29" s="16" t="s">
        <v>26</v>
      </c>
      <c r="K29">
        <v>24</v>
      </c>
    </row>
    <row r="30" spans="2:11" x14ac:dyDescent="0.3">
      <c r="B30" t="s">
        <v>14</v>
      </c>
      <c r="C30" t="s">
        <v>15</v>
      </c>
      <c r="D30" t="s">
        <v>41</v>
      </c>
      <c r="E30" t="s">
        <v>11</v>
      </c>
      <c r="F30" t="s">
        <v>40</v>
      </c>
      <c r="G30" t="s">
        <v>13</v>
      </c>
      <c r="J30" s="16" t="s">
        <v>27</v>
      </c>
      <c r="K30">
        <v>23</v>
      </c>
    </row>
    <row r="31" spans="2:11" x14ac:dyDescent="0.3">
      <c r="B31">
        <v>1964</v>
      </c>
      <c r="C31">
        <v>1867</v>
      </c>
      <c r="D31" s="4">
        <v>0.9309090909090908</v>
      </c>
      <c r="E31">
        <v>127</v>
      </c>
      <c r="F31" s="11">
        <v>567700</v>
      </c>
      <c r="G31" s="11">
        <v>576100</v>
      </c>
      <c r="J31" s="16" t="s">
        <v>28</v>
      </c>
      <c r="K31">
        <v>24</v>
      </c>
    </row>
    <row r="32" spans="2:11" x14ac:dyDescent="0.3">
      <c r="J32" s="16" t="s">
        <v>29</v>
      </c>
      <c r="K32">
        <v>21</v>
      </c>
    </row>
    <row r="33" spans="6:11" x14ac:dyDescent="0.3">
      <c r="J33" s="16" t="s">
        <v>35</v>
      </c>
      <c r="K33">
        <v>24</v>
      </c>
    </row>
    <row r="34" spans="6:11" x14ac:dyDescent="0.3">
      <c r="J34" s="16" t="s">
        <v>30</v>
      </c>
      <c r="K34">
        <v>11</v>
      </c>
    </row>
    <row r="35" spans="6:11" x14ac:dyDescent="0.3">
      <c r="J35" s="16" t="s">
        <v>17</v>
      </c>
      <c r="K35">
        <v>127</v>
      </c>
    </row>
    <row r="38" spans="6:11" x14ac:dyDescent="0.3">
      <c r="F38" t="s">
        <v>11</v>
      </c>
      <c r="G38" t="s">
        <v>14</v>
      </c>
      <c r="H38" t="s">
        <v>15</v>
      </c>
    </row>
    <row r="39" spans="6:11" x14ac:dyDescent="0.3">
      <c r="F39">
        <v>127</v>
      </c>
      <c r="G39">
        <v>1964</v>
      </c>
      <c r="H39">
        <v>1867</v>
      </c>
    </row>
    <row r="43" spans="6:11" x14ac:dyDescent="0.3">
      <c r="F43" t="s">
        <v>31</v>
      </c>
      <c r="G43">
        <f>G39</f>
        <v>1964</v>
      </c>
    </row>
    <row r="44" spans="6:11" x14ac:dyDescent="0.3">
      <c r="F44" t="s">
        <v>33</v>
      </c>
      <c r="G44">
        <f>H39</f>
        <v>1867</v>
      </c>
    </row>
    <row r="45" spans="6:11" x14ac:dyDescent="0.3">
      <c r="F45" t="s">
        <v>32</v>
      </c>
      <c r="G45">
        <f>F39</f>
        <v>127</v>
      </c>
    </row>
    <row r="50" spans="11:11" x14ac:dyDescent="0.3">
      <c r="K50" t="s">
        <v>38</v>
      </c>
    </row>
    <row r="51" spans="11:11" x14ac:dyDescent="0.3">
      <c r="K51">
        <v>1964</v>
      </c>
    </row>
    <row r="54" spans="11:11" x14ac:dyDescent="0.3">
      <c r="K54" t="s">
        <v>10</v>
      </c>
    </row>
    <row r="55" spans="11:11" x14ac:dyDescent="0.3">
      <c r="K55" s="17">
        <v>0.94090909090909092</v>
      </c>
    </row>
    <row r="57" spans="11:11" x14ac:dyDescent="0.3">
      <c r="K57" t="s">
        <v>11</v>
      </c>
    </row>
    <row r="58" spans="11:11" x14ac:dyDescent="0.3">
      <c r="K58">
        <v>127</v>
      </c>
    </row>
    <row r="60" spans="11:11" x14ac:dyDescent="0.3">
      <c r="K60" t="s">
        <v>12</v>
      </c>
    </row>
    <row r="61" spans="11:11" x14ac:dyDescent="0.3">
      <c r="K61">
        <v>5.1499999999999995</v>
      </c>
    </row>
    <row r="63" spans="11:11" x14ac:dyDescent="0.3">
      <c r="K63" t="s">
        <v>39</v>
      </c>
    </row>
    <row r="64" spans="11:11" x14ac:dyDescent="0.3">
      <c r="K64" s="11">
        <v>576100</v>
      </c>
    </row>
  </sheetData>
  <pageMargins left="0.7" right="0.7" top="0.75" bottom="0.75" header="0.3" footer="0.3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E2DC-1970-4742-B333-0F4982FE4751}">
  <sheetPr>
    <pageSetUpPr fitToPage="1"/>
  </sheetPr>
  <dimension ref="A1"/>
  <sheetViews>
    <sheetView showGridLines="0" tabSelected="1" zoomScale="71" zoomScaleNormal="144" workbookViewId="0">
      <selection activeCell="W19" sqref="W19"/>
    </sheetView>
  </sheetViews>
  <sheetFormatPr defaultRowHeight="14.4" x14ac:dyDescent="0.3"/>
  <sheetData/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 Tables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Mudgal</dc:creator>
  <cp:lastModifiedBy>Dhruv Mudgal</cp:lastModifiedBy>
  <cp:lastPrinted>2026-05-23T06:49:17Z</cp:lastPrinted>
  <dcterms:created xsi:type="dcterms:W3CDTF">2026-02-27T15:43:15Z</dcterms:created>
  <dcterms:modified xsi:type="dcterms:W3CDTF">2026-07-14T08:34:05Z</dcterms:modified>
</cp:coreProperties>
</file>